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Log" sheetId="1" r:id="rId4"/>
    <sheet state="visible" name="Inputs" sheetId="2" r:id="rId5"/>
    <sheet state="visible" name="Universal" sheetId="3" r:id="rId6"/>
    <sheet state="hidden" name="Layer_defaults" sheetId="4" r:id="rId7"/>
    <sheet state="hidden" name="Shop" sheetId="5" r:id="rId8"/>
    <sheet state="hidden" name="P-1" sheetId="6" r:id="rId9"/>
    <sheet state="hidden" name="P-50 Base" sheetId="7" r:id="rId10"/>
    <sheet state="hidden" name="P-50 Auto" sheetId="8" r:id="rId11"/>
  </sheets>
  <definedNames>
    <definedName name="furnace_part_scale_y">Shop!$C$98</definedName>
    <definedName name="dm_furnace_y">Shop!$C$95</definedName>
    <definedName localSheetId="6" name="uptime_hours_yr">'P-50 Base'!$C$36</definedName>
    <definedName localSheetId="1" name="build_x">Shop!$C$71</definedName>
    <definedName localSheetId="2" name="dm_furnace_y">#REF!</definedName>
    <definedName name="part_x">Shop!$C$5</definedName>
    <definedName localSheetId="5" name="build_z">'P-1'!$C$73</definedName>
    <definedName localSheetId="5" name="printhead_life">'P-1'!$C$85</definedName>
    <definedName name="avail_hours_yr">Shop!$C$34</definedName>
    <definedName name="InnoventX">Inputs!$O$104:$O$125</definedName>
    <definedName localSheetId="2" name="s_model">#REF!</definedName>
    <definedName localSheetId="6" name="z_scale">'P-50 Base'!$C$63</definedName>
    <definedName localSheetId="5" name="xlink_msrp">'P-1'!$C$119</definedName>
    <definedName localSheetId="2" name="parts_job">Universal!$C$79</definedName>
    <definedName localSheetId="7" name="weeks_yr">'P-50 Auto'!$C$32</definedName>
    <definedName localSheetId="5" name="furnace_shelves">'P-1'!$C$112</definedName>
    <definedName localSheetId="2" name="uptime">Universal!$C$38</definedName>
    <definedName localSheetId="6" name="powder_default_price">'P-50 Base'!$C$43</definedName>
    <definedName localSheetId="2" name="dm_furnace_hw_consumables">Universal!$C$123</definedName>
    <definedName localSheetId="2" name="dm_furnace_x">Universal!$XFD$99</definedName>
    <definedName name="furnace_z_spacing">Shop!$C$101</definedName>
    <definedName localSheetId="2" name="furnace_part_scale_z">Universal!$C$129</definedName>
    <definedName localSheetId="6" name="part_only_vol">'P-50 Base'!$C$8</definedName>
    <definedName localSheetId="7" name="buildbox_msrp">'P-50 Auto'!$C$118</definedName>
    <definedName localSheetId="7" name="furnace_part_scale_z">'P-50 Auto'!$C$94</definedName>
    <definedName localSheetId="7" name="furnace_shelves">'P-50 Auto'!$C$107</definedName>
    <definedName localSheetId="7" name="print_turnaround">'P-50 Auto'!$C$75</definedName>
    <definedName localSheetId="4" name="sponge_msrp">Shop!$C$46</definedName>
    <definedName name="dm_furnace_consumables_material">Shop!$C$105</definedName>
    <definedName name="powder_default_price">'P-1'!$C$43</definedName>
    <definedName localSheetId="5" name="furnace_part_scale_x">'P-1'!$C$97</definedName>
    <definedName localSheetId="2" name="furnace_utilities_hr">Universal!$C$125</definedName>
    <definedName name="floor_rate">'P-1'!$C$57</definedName>
    <definedName localSheetId="7" name="uptime_hours_yr">'P-50 Auto'!$C$35</definedName>
    <definedName localSheetId="2" name="part_y">Universal!$C$6</definedName>
    <definedName localSheetId="5" name="xlink_module_msrp">'P-1'!$C$120</definedName>
    <definedName localSheetId="6" name="printer_msrp">'P-50 Base'!$C$118</definedName>
    <definedName localSheetId="5" name="total_builds_yr">'P-1'!$G$12</definedName>
    <definedName name="furnace_part_scale_x">Shop!$C$97</definedName>
    <definedName name="ShopPlus_4L">Inputs!$F$104:$F$125</definedName>
    <definedName localSheetId="2" name="printer_msrp">Universal!$C$148</definedName>
    <definedName localSheetId="2" name="nitrogen_rate">Universal!$C$61</definedName>
    <definedName localSheetId="2" name="xlink_floorspace">Universal!$C$142</definedName>
    <definedName name="ShopPro_4L">Inputs!$I$104:$I$125</definedName>
    <definedName localSheetId="4" name="part_only_vol">Shop!$C$8</definedName>
    <definedName localSheetId="5" name="blender_msrp">'P-1'!$C$122</definedName>
    <definedName localSheetId="7" name="support_vol">'P-50 Auto'!$C$9</definedName>
    <definedName localSheetId="2" name="part_scale_y">Universal!$C$76</definedName>
    <definedName name="binder_per_yr">'P-1'!$C$165</definedName>
    <definedName localSheetId="6" name="avail_hours_yr">'P-50 Base'!$C$34</definedName>
    <definedName name="good_parts_job">Shop!$C$28</definedName>
    <definedName localSheetId="6" name="printer_z_base">'P-50 Base'!$C$89</definedName>
    <definedName localSheetId="7" name="floor_rate">'P-50 Auto'!$C$56</definedName>
    <definedName localSheetId="6" name="furnace_gas_cons">'P-50 Base'!$C$114</definedName>
    <definedName localSheetId="7" name="part_z">'P-50 Auto'!$C$7</definedName>
    <definedName localSheetId="6" name="p_model">'P-50 Base'!$C$14</definedName>
    <definedName localSheetId="2" name="total_yield">Universal!$C$30</definedName>
    <definedName localSheetId="2" name="y_scale">Universal!$C$72</definedName>
    <definedName localSheetId="6" name="buildbox_msrp">'P-50 Base'!$C$123</definedName>
    <definedName localSheetId="5" name="weeks_yr">'P-1'!$C$33</definedName>
    <definedName localSheetId="6" name="part_req">'P-50 Base'!$C$60</definedName>
    <definedName localSheetId="7" name="printer_xy_border">'P-50 Auto'!$C$84</definedName>
    <definedName name="layer_thickness_table">Universal!$C$217:$C$251</definedName>
    <definedName localSheetId="5" name="furnace_xy_spacing">'P-1'!$C$100</definedName>
    <definedName localSheetId="7" name="binder_purge_vol">'P-50 Auto'!$C$79</definedName>
    <definedName localSheetId="4" name="uptime_hours_yr">Shop!$C$36</definedName>
    <definedName localSheetId="6" name="parts_job">'P-50 Base'!$C$69</definedName>
    <definedName localSheetId="2" name="part_capacity">Universal!$C$40</definedName>
    <definedName localSheetId="5" name="powder_trnaround">'P-1'!$C$79</definedName>
    <definedName localSheetId="4" name="mim_furnace_y">Shop!$K$23</definedName>
    <definedName localSheetId="7" name="printer_z_spacing">'P-50 Auto'!$C$87</definedName>
    <definedName name="ShopPlus_8L">Inputs!$G$104:$G$125</definedName>
    <definedName localSheetId="5" name="printer_z_spacing">'P-1'!$C$91</definedName>
    <definedName localSheetId="2" name="part_vol">Universal!$C$10</definedName>
    <definedName localSheetId="4" name="depowder_trnaround">Shop!$C$78</definedName>
    <definedName name="furnace_shelves">Shop!$C$112</definedName>
    <definedName localSheetId="7" name="powder_loss_percentage">'P-50 Auto'!$C$77</definedName>
    <definedName localSheetId="5" name="build_height">'P-1'!$C$74</definedName>
    <definedName localSheetId="2" name="binder_purge_vol">Universal!$C$90</definedName>
    <definedName localSheetId="4" name="build_y">Shop!$C$72</definedName>
    <definedName localSheetId="2" name="layer_speed">Universal!$C$74</definedName>
    <definedName localSheetId="6" name="printer_xy_spacing">'P-50 Base'!$C$90</definedName>
    <definedName localSheetId="6" name="furnace_part_scale_y">'P-50 Base'!$C$98</definedName>
    <definedName localSheetId="2" name="furnace_depr">Universal!$C$60</definedName>
    <definedName localSheetId="2" name="depowder_floorspace">Universal!$C$143</definedName>
    <definedName name="furnace_sel">Shop!$C$16</definedName>
    <definedName localSheetId="5" name="total_yield">'P-1'!$C$27</definedName>
    <definedName localSheetId="4" name="z_scale">Shop!$C$63</definedName>
    <definedName localSheetId="6" name="part_y">'P-50 Base'!$C$6</definedName>
    <definedName localSheetId="4" name="furnace_depr">Shop!$C$54</definedName>
    <definedName localSheetId="2" name="buildbox_msrp">Universal!$C$156</definedName>
    <definedName localSheetId="2" name="printer_z_spacing">Universal!$C$100</definedName>
    <definedName name="density_selected">'P-1'!$C$142</definedName>
    <definedName name="X160ProInert">#REF!</definedName>
    <definedName name="P_50_Base">Inputs!$M$104:$M$125</definedName>
    <definedName localSheetId="2" name="furnace_gas_cons">Universal!$C$120</definedName>
    <definedName localSheetId="6" name="build_y">'P-50 Base'!$C$72</definedName>
    <definedName localSheetId="5" name="mim_furnace_x">'P-1'!$K$22</definedName>
    <definedName localSheetId="2" name="x_scale">Universal!$C$71</definedName>
    <definedName localSheetId="5" name="powder_price">'P-1'!$C$42</definedName>
    <definedName localSheetId="5" name="furnace_part_scale_z">'P-1'!$C$99</definedName>
    <definedName localSheetId="5" name="furnace_sel">'P-1'!$C$16</definedName>
    <definedName localSheetId="2" name="binder_purge_freq">Universal!$C$91</definedName>
    <definedName name="build_box_qty">Universal!$C$86</definedName>
    <definedName localSheetId="7" name="p_config">'P-50 Auto'!$C$13</definedName>
    <definedName name="print_time_trn">Shop!$C$26</definedName>
    <definedName name="kegs_msrp">Universal!$C$149</definedName>
    <definedName localSheetId="6" name="good_parts_job">'P-50 Base'!$C$28</definedName>
    <definedName localSheetId="6" name="part_vol">'P-50 Base'!$C$10</definedName>
    <definedName localSheetId="4" name="s_model">Shop!$C$14</definedName>
    <definedName localSheetId="4" name="printer_xy_border">Shop!$C$88</definedName>
    <definedName localSheetId="2" name="weeks_yr">Universal!$C$36</definedName>
    <definedName localSheetId="5" name="furnace_z_spacing">'P-1'!$C$101</definedName>
    <definedName localSheetId="2" name="printers_req">Universal!$G$11</definedName>
    <definedName localSheetId="7" name="part_vol_scale">'P-50 Auto'!$C$67</definedName>
    <definedName localSheetId="5" name="ppu_msrp">'P-1'!$C$122</definedName>
    <definedName localSheetId="6" name="build_vol">'P-50 Base'!$C$75</definedName>
    <definedName localSheetId="2" name="build_layers">Universal!$C$28</definedName>
    <definedName localSheetId="5" name="printer_z_base">'P-1'!$C$89</definedName>
    <definedName localSheetId="2" name="printer_z_base">Universal!$C$98</definedName>
    <definedName localSheetId="5" name="labor_rate">'P-1'!$C$49</definedName>
    <definedName name="binder_weighted_price">'P-1'!$C$169</definedName>
    <definedName name="power_rate">Shop!$C$57</definedName>
    <definedName localSheetId="2" name="furnace_part_scale_x">Universal!$C$127</definedName>
    <definedName localSheetId="2" name="material_sel">Universal!$C$45</definedName>
    <definedName localSheetId="4" name="printer_z_spacing">Shop!$C$91</definedName>
    <definedName localSheetId="2" name="printer_floorspace">Universal!$C$141</definedName>
    <definedName localSheetId="2" name="binder_price">Universal!$C$48</definedName>
    <definedName localSheetId="2" name="good_parts_job">Universal!$C$31</definedName>
    <definedName localSheetId="6" name="build_layers">'P-50 Base'!$C$25</definedName>
    <definedName localSheetId="6" name="support_vol">'P-50 Base'!$C$9</definedName>
    <definedName localSheetId="7" name="build_y">'P-50 Auto'!$C$71</definedName>
    <definedName localSheetId="5" name="printer_xy_border">'P-1'!$C$88</definedName>
    <definedName localSheetId="2" name="part_z">Universal!$C$7</definedName>
    <definedName localSheetId="6" name="part_scale_z">'P-50 Base'!$C$67</definedName>
    <definedName localSheetId="5" name="xlink_trnaround">'P-1'!$C$77</definedName>
    <definedName localSheetId="6" name="part_scale_x">'P-50 Base'!$C$65</definedName>
    <definedName localSheetId="2" name="mim_furnace_y">Universal!$K$7</definedName>
    <definedName localSheetId="2" name="density_selected">Universal!$C$164</definedName>
    <definedName name="argon_rate">'P-1'!$C$55</definedName>
    <definedName localSheetId="7" name="build_vol">'P-50 Auto'!$C$74</definedName>
    <definedName localSheetId="5" name="powder_ratio">'P-1'!$C$80</definedName>
    <definedName localSheetId="5" name="p_model">'P-1'!$C$14</definedName>
    <definedName localSheetId="5" name="sponge_life">'P-1'!$C$87</definedName>
    <definedName localSheetId="7" name="sponge_life">'P-50 Auto'!$C$83</definedName>
    <definedName localSheetId="6" name="bed_density">'P-50 Base'!$C$70</definedName>
    <definedName name="dm_furnace_x">Shop!$C$94</definedName>
    <definedName name="part_z">Shop!$C$7</definedName>
    <definedName localSheetId="2" name="furnace_xy_spacing">Universal!$C$130</definedName>
    <definedName localSheetId="6" name="depowder_msrp">'P-50 Base'!$C$121</definedName>
    <definedName name="build_vol">Shop!$C$75</definedName>
    <definedName localSheetId="2" name="xlink_module_msrp">Universal!$C$151</definedName>
    <definedName name="total_yield">Shop!$C$27</definedName>
    <definedName localSheetId="7" name="nitrogen_rate">'P-50 Auto'!$C$53</definedName>
    <definedName localSheetId="2" name="power_rate">Universal!$C$65</definedName>
    <definedName localSheetId="2" name="avail_hours_yr">Universal!$C$37</definedName>
    <definedName name="build_layers">Shop!$C$25</definedName>
    <definedName localSheetId="7" name="part_scale_y">'P-50 Auto'!$C$65</definedName>
    <definedName localSheetId="7" name="powder_price">'P-50 Auto'!$C$41</definedName>
    <definedName localSheetId="6" name="furnace_sel">'P-50 Base'!$C$16</definedName>
    <definedName localSheetId="6" name="furnace_rack_thickness">'P-50 Base'!$C$102</definedName>
    <definedName localSheetId="5" name="build_y">'P-1'!$C$72</definedName>
    <definedName localSheetId="5" name="power_rate">'P-1'!$C$56</definedName>
    <definedName localSheetId="2" name="furnace_shelves">Universal!$C$118</definedName>
    <definedName name="wiper_life">Shop!$C$86</definedName>
    <definedName localSheetId="6" name="part_z">'P-50 Base'!$C$7</definedName>
    <definedName localSheetId="2" name="part_scale_z">Universal!$C$77</definedName>
    <definedName localSheetId="2" name="part_req">Universal!$C$70</definedName>
    <definedName localSheetId="7" name="binder_per_yr">'P-50 Auto'!$C$160</definedName>
    <definedName localSheetId="7" name="furnace_time_cycle">'P-50 Auto'!$C$108</definedName>
    <definedName name="binder_price">Shop!$C$43</definedName>
    <definedName name="depowder_msrp">Shop!$C$121</definedName>
    <definedName localSheetId="5" name="region_sel">'P-1'!$C$46</definedName>
    <definedName localSheetId="2" name="uptime_hours_yr">Universal!$C$39</definedName>
    <definedName localSheetId="6" name="part_x">'P-50 Base'!$C$5</definedName>
    <definedName name="P_50_Auto">Inputs!$N$104:$N$125</definedName>
    <definedName localSheetId="7" name="parts_job">'P-50 Auto'!$C$68</definedName>
    <definedName localSheetId="6" name="build_x">'P-50 Base'!$C$71</definedName>
    <definedName localSheetId="7" name="furnace_part_scale_y">'P-50 Auto'!$C$93</definedName>
    <definedName localSheetId="6" name="print_time_trn">'P-50 Base'!$C$26</definedName>
    <definedName localSheetId="2" name="furnace_sel">Universal!$C$16</definedName>
    <definedName name="part_scale_z">Shop!$C$67</definedName>
    <definedName localSheetId="2" name="depowder_msrp">Universal!$C$152</definedName>
    <definedName name="X25Pro">Inputs!$P$104:$P$125</definedName>
    <definedName localSheetId="7" name="material_sel">'P-50 Auto'!$C$40</definedName>
    <definedName localSheetId="4" name="wiper_msrp">Shop!$C$45</definedName>
    <definedName localSheetId="4" name="buildbox_msrp">Shop!$C$125</definedName>
    <definedName localSheetId="5" name="mim_furnace_z">'P-1'!$K$24</definedName>
    <definedName name="furnace_power_cons">'P-1'!$C$115</definedName>
    <definedName localSheetId="6" name="total_builds_yr">'P-50 Base'!$G$12</definedName>
    <definedName name="furnace_gas_cons">'P-1'!$C$114</definedName>
    <definedName localSheetId="4" name="dm_depr">Shop!$C$53</definedName>
    <definedName localSheetId="7" name="override_nesting">'P-50 Auto'!$C$20</definedName>
    <definedName name="curing_msrp">Shop!$C$120</definedName>
    <definedName localSheetId="7" name="part_scale_z">'P-50 Auto'!$C$66</definedName>
    <definedName name="Shop_12L">Inputs!$E$104:$E$125</definedName>
    <definedName localSheetId="2" name="vacuum_msrp">Universal!$C$154</definedName>
    <definedName name="printhead_life">Shop!$C$85</definedName>
    <definedName localSheetId="2" name="powder_pwr">Universal!$C$138</definedName>
    <definedName localSheetId="4" name="mim_furnace_x">Shop!$K$22</definedName>
    <definedName localSheetId="2" name="argon_rate">Universal!$C$63</definedName>
    <definedName name="part_y">Shop!$C$6</definedName>
    <definedName localSheetId="7" name="printhead_msrp">'P-50 Auto'!$C$44</definedName>
    <definedName name="furnace_index">Shop!$C$108</definedName>
    <definedName name="material_sel">Shop!$C$41</definedName>
    <definedName localSheetId="2" name="furnace_consumables_hr">Universal!$C$126</definedName>
    <definedName localSheetId="6" name="printhead_msrp">'P-50 Base'!$C$45</definedName>
    <definedName localSheetId="7" name="x_scale">'P-50 Auto'!$C$60</definedName>
    <definedName localSheetId="2" name="binder_ratio">Universal!$C$89</definedName>
    <definedName localSheetId="2" name="z_scale">Universal!$C$73</definedName>
    <definedName localSheetId="5" name="total_hours_yr">'P-1'!$C$106</definedName>
    <definedName localSheetId="5" name="printer_xy_spacing">'P-1'!$C$90</definedName>
    <definedName localSheetId="2" name="bed_density">Universal!$C$80</definedName>
    <definedName localSheetId="6" name="density_selected">'P-50 Base'!$C$142</definedName>
    <definedName localSheetId="2" name="dm_furnace_msrp">#REF!</definedName>
    <definedName localSheetId="6" name="layer_speed">'P-50 Base'!$C$64</definedName>
    <definedName localSheetId="2" name="printer_module_msrp">#REF!</definedName>
    <definedName localSheetId="7" name="build_height">'P-50 Auto'!$C$73</definedName>
    <definedName localSheetId="4" name="furnace_time_cycle">Shop!$C$113</definedName>
    <definedName localSheetId="2" name="printer_pwr">Universal!$C$135</definedName>
    <definedName localSheetId="6" name="ppu_msrp">'P-50 Base'!$C$122</definedName>
    <definedName localSheetId="2" name="build_y">Universal!$C$82</definedName>
    <definedName localSheetId="2" name="powder_process_msrp">Universal!$C$153</definedName>
    <definedName localSheetId="5" name="y_scale">'P-1'!$C$62</definedName>
    <definedName localSheetId="6" name="printer_xy_border">'P-50 Base'!$C$88</definedName>
    <definedName localSheetId="2" name="printhead_msrp">Universal!$C$50</definedName>
    <definedName localSheetId="1" name="p_model">Inputs!$C$17</definedName>
    <definedName localSheetId="2" name="furnace_rack_thickness">Universal!$C$132</definedName>
    <definedName localSheetId="2" name="furnace_z_dim">Universal!$C$117</definedName>
    <definedName localSheetId="6" name="powder_ratio">'P-50 Base'!$C$80</definedName>
    <definedName localSheetId="5" name="furnace_index">'P-1'!$C$108</definedName>
    <definedName localSheetId="5" name="z_scale">'P-1'!$C$63</definedName>
    <definedName localSheetId="7" name="density_selected">'P-50 Auto'!$C$137</definedName>
    <definedName localSheetId="5" name="part_scale_y">'P-1'!$C$66</definedName>
    <definedName localSheetId="7" name="p_model">'P-50 Auto'!$C$14</definedName>
    <definedName name="ShopPlus_12L">Inputs!$H$104:$H$125</definedName>
    <definedName name="total_builds_yr">Shop!$G$12</definedName>
    <definedName localSheetId="2" name="furnace_time_cycle">Universal!$C$119</definedName>
    <definedName localSheetId="7" name="uptime">'P-50 Auto'!$C$34</definedName>
    <definedName localSheetId="7" name="mim_furnace_z">'P-50 Auto'!$K$24</definedName>
    <definedName localSheetId="7" name="part_only_vol">'P-50 Auto'!$C$8</definedName>
    <definedName localSheetId="6" name="labor_rate">'P-50 Base'!$C$49</definedName>
    <definedName localSheetId="2" name="cleaner_freq">Universal!$C$95</definedName>
    <definedName localSheetId="7" name="binder_price">'P-50 Auto'!$C$43</definedName>
    <definedName localSheetId="2" name="layer_thickness_sel">Universal!$C$26</definedName>
    <definedName localSheetId="6" name="furnace_z_spacing">'P-50 Base'!$C$101</definedName>
    <definedName localSheetId="7" name="printhead_life">'P-50 Auto'!$C$81</definedName>
    <definedName localSheetId="2" name="furnace_consumables_kg">Universal!$C$124</definedName>
    <definedName localSheetId="5" name="printhead_msrp">'P-1'!$C$45</definedName>
    <definedName localSheetId="5" name="part_y">'P-1'!$C$6</definedName>
    <definedName localSheetId="7" name="total_builds_yr">'P-50 Auto'!$G$12</definedName>
    <definedName localSheetId="6" name="printer_z_spacing">'P-50 Base'!$C$91</definedName>
    <definedName localSheetId="5" name="powder_loss_percentage">'P-1'!$C$81</definedName>
    <definedName localSheetId="6" name="build_height">'P-50 Base'!$C$74</definedName>
    <definedName name="wiper_msrp">Shop!$C$45</definedName>
    <definedName localSheetId="7" name="furnace_z_spacing">'P-50 Auto'!$C$96</definedName>
    <definedName localSheetId="7" name="z_scale">'P-50 Auto'!$C$62</definedName>
    <definedName localSheetId="2" name="build_z">Universal!$C$83</definedName>
    <definedName localSheetId="7" name="printer_msrp">'P-50 Auto'!$C$113</definedName>
    <definedName localSheetId="6" name="uptime">'P-50 Base'!$C$35</definedName>
    <definedName localSheetId="4" name="floor_rate">Shop!$C$58</definedName>
    <definedName localSheetId="4" name="Furnace_rack_thickness">Shop!$C$102</definedName>
    <definedName localSheetId="7" name="binder_void_ratio">'P-50 Auto'!$C$78</definedName>
    <definedName localSheetId="2" name="total_builds_yr">Universal!$G$13</definedName>
    <definedName localSheetId="6" name="binder_per_yr">'P-50 Base'!$C$165</definedName>
    <definedName localSheetId="4" name="support_vol">Shop!$C$9</definedName>
    <definedName localSheetId="6" name="furnace_part_scale_x">'P-50 Base'!$C$97</definedName>
    <definedName localSheetId="5" name="furnace_time_cycle">'P-1'!$C$113</definedName>
    <definedName localSheetId="4" name="vacuum_msrp">Shop!$C$124</definedName>
    <definedName localSheetId="5" name="override_nesting">'P-1'!$C$21</definedName>
    <definedName name="powder_ratio">Shop!$C$80</definedName>
    <definedName name="powder_loss_percentage">Shop!$C$81</definedName>
    <definedName localSheetId="6" name="binder_price">'P-50 Base'!$C$44</definedName>
    <definedName localSheetId="7" name="furnace_power_cons">'P-50 Auto'!$C$110</definedName>
    <definedName name="furnace_depr">'P-1'!$C$53</definedName>
    <definedName localSheetId="4" name="argon_rate">Shop!$C$56</definedName>
    <definedName localSheetId="7" name="xlink_msrp">'P-50 Auto'!$C$114</definedName>
    <definedName localSheetId="6" name="build_z">'P-50 Base'!$C$73</definedName>
    <definedName name="furnace_rack_thickness">'P-1'!$C$102</definedName>
    <definedName localSheetId="7" name="total_hours_yr">'P-50 Auto'!$C$101</definedName>
    <definedName localSheetId="4" name="mim_furnace_z">Shop!$K$24</definedName>
    <definedName localSheetId="7" name="furnace_sel">'P-50 Auto'!$C$16</definedName>
    <definedName name="Shop_4L">Inputs!$C$104:$C$125</definedName>
    <definedName name="total_hours_yr">Shop!$C$106</definedName>
    <definedName localSheetId="7" name="build_z">'P-50 Auto'!$C$72</definedName>
    <definedName name="P_1">Inputs!$L$104:$L$125</definedName>
    <definedName localSheetId="6" name="nitrogen_rate">'P-50 Base'!$C$54</definedName>
    <definedName localSheetId="5" name="nitrogen_rate">'P-1'!$C$54</definedName>
    <definedName localSheetId="2" name="support_vol">Universal!$C$9</definedName>
    <definedName localSheetId="2" name="furnace_x_dim">Universal!$C$115</definedName>
    <definedName name="p_config">'P-1'!$C$13</definedName>
    <definedName localSheetId="6" name="x_scale">'P-50 Base'!$C$61</definedName>
    <definedName localSheetId="2" name="build_height">Universal!$C$84</definedName>
    <definedName localSheetId="6" name="part_scale_y">'P-50 Base'!$C$66</definedName>
    <definedName name="binder_purge_vol">Shop!$C$83</definedName>
    <definedName name="furnace_part_scale_z">Shop!$C$99</definedName>
    <definedName localSheetId="5" name="binder_price">'P-1'!$C$44</definedName>
    <definedName localSheetId="5" name="good_parts_job">'P-1'!$C$28</definedName>
    <definedName localSheetId="1" name="build_y">Shop!$C$72</definedName>
    <definedName localSheetId="2" name="mim_furnace_z">Universal!$K$8</definedName>
    <definedName localSheetId="6" name="dm_depr">'P-50 Base'!$C$52</definedName>
    <definedName name="part_vol_scale">Shop!$C$68</definedName>
    <definedName localSheetId="2" name="printhead_life">Universal!$C$92</definedName>
    <definedName localSheetId="2" name="printer_sel">Universal!$C$13</definedName>
    <definedName localSheetId="4" name="xlink_trnaround">Shop!$C$77</definedName>
    <definedName localSheetId="5" name="buildbox_msrp">'P-1'!$C$123</definedName>
    <definedName localSheetId="4" name="bed_density">Shop!$C$70</definedName>
    <definedName name="printer_module_msrp">Shop!$C$119</definedName>
    <definedName localSheetId="2" name="cleaner_cycle_vol">Universal!$C$96</definedName>
    <definedName localSheetId="2" name="dm_depr">Universal!$C$59</definedName>
    <definedName localSheetId="7" name="furnace_part_scale_x">'P-50 Auto'!$C$92</definedName>
    <definedName name="ShopPro_8L">Inputs!$J$104:$J$125</definedName>
    <definedName localSheetId="6" name="binder_weighted_price">'P-50 Base'!$C$169</definedName>
    <definedName name="printer_msrp">Shop!$C$118</definedName>
    <definedName localSheetId="2" name="cleaner_msrp">Universal!$C$49</definedName>
    <definedName localSheetId="2" name="binder_void_ratio">Universal!$C$89</definedName>
    <definedName localSheetId="2" name="print_trnaround">Universal!$C$107</definedName>
    <definedName localSheetId="6" name="y_scale">'P-50 Base'!$C$62</definedName>
    <definedName localSheetId="7" name="binder_weighted_price">'P-50 Auto'!$C$164</definedName>
    <definedName name="powder_price">Shop!$C$42</definedName>
    <definedName localSheetId="7" name="part_capacity">'P-50 Auto'!$C$36</definedName>
    <definedName localSheetId="7" name="bed_density">'P-50 Auto'!$C$69</definedName>
    <definedName localSheetId="5" name="build_vol">'P-1'!$C$75</definedName>
    <definedName localSheetId="2" name="furnace_index">Universal!$C$114</definedName>
    <definedName localSheetId="6" name="xlink_module_msrp">'P-50 Base'!$C$120</definedName>
    <definedName localSheetId="4" name="uptime">Shop!$C$35</definedName>
    <definedName localSheetId="5" name="binder_purge_vol">'P-1'!$C$83</definedName>
    <definedName localSheetId="7" name="region_sel">'P-50 Auto'!$C$45</definedName>
    <definedName localSheetId="2" name="ppu_auto_on">Universal!$K$25</definedName>
    <definedName localSheetId="6" name="binder_void_ratio">'P-50 Base'!$C$82</definedName>
    <definedName localSheetId="6" name="p_config">'P-50 Base'!$C$13</definedName>
    <definedName localSheetId="2" name="furnace_consumables_run">Universal!$C$122</definedName>
    <definedName name="weeks_yr">Shop!$C$33</definedName>
    <definedName localSheetId="6" name="powder_loss_percentage">'P-50 Base'!$C$81</definedName>
    <definedName localSheetId="6" name="override_nesting">'P-50 Base'!$C$21</definedName>
    <definedName localSheetId="6" name="mim_furnace_z">'P-50 Base'!$K$24</definedName>
    <definedName localSheetId="4" name="furnace_gas_cons">Shop!$C$114</definedName>
    <definedName name="uptime_hours_yr">'P-1'!$C$36</definedName>
    <definedName localSheetId="5" name="x_scale">'P-1'!$C$61</definedName>
    <definedName name="dm_depr">'P-1'!$C$52</definedName>
    <definedName name="ShopPro_12L">Inputs!$K$104:$K$125</definedName>
    <definedName localSheetId="2" name="forming_gas_rate">Universal!$C$64</definedName>
    <definedName localSheetId="7" name="print_time_trn">'P-50 Auto'!$C$25</definedName>
    <definedName localSheetId="5" name="part_capacity">'P-1'!$C$37</definedName>
    <definedName localSheetId="4" name="furnace_power_cons">Shop!$C$115</definedName>
    <definedName localSheetId="7" name="furnace_rack_thickness">'P-50 Auto'!$C$97</definedName>
    <definedName localSheetId="7" name="mim_furnace_y">'P-50 Auto'!$K$23</definedName>
    <definedName localSheetId="7" name="powder_ratio">'P-50 Auto'!$C$76</definedName>
    <definedName localSheetId="2" name="xlink_pwr">Universal!$C$136</definedName>
    <definedName localSheetId="2" name="material_index">Universal!$C$163</definedName>
    <definedName localSheetId="6" name="material_sel">'P-50 Base'!$C$41</definedName>
    <definedName localSheetId="2" name="ppu_auto_trnaround">Universal!$C$111</definedName>
    <definedName localSheetId="5" name="build_x">'P-1'!$C$71</definedName>
    <definedName name="build_height">Shop!$C$74</definedName>
    <definedName localSheetId="6" name="mim_furnace_y">'P-50 Base'!$K$23</definedName>
    <definedName localSheetId="2" name="part_x">Universal!$C$5</definedName>
    <definedName name="part_vol">Shop!$C$10</definedName>
    <definedName localSheetId="7" name="furnace_index">'P-50 Auto'!$C$103</definedName>
    <definedName localSheetId="4" name="blender_msrp">Shop!$C$122</definedName>
    <definedName name="binder_ratio">Shop!$C$82</definedName>
    <definedName localSheetId="2" name="transfer_cart_msrp">Universal!$C$155</definedName>
    <definedName localSheetId="4" name="wiper_life">Shop!$C$86</definedName>
    <definedName localSheetId="4" name="density_selected">Shop!$C$142</definedName>
    <definedName localSheetId="7" name="part_req">'P-50 Auto'!$C$59</definedName>
    <definedName localSheetId="2" name="labor_rate">Universal!$C$56</definedName>
    <definedName localSheetId="4" name="build_z">Shop!$C$73</definedName>
    <definedName name="print_trnaround">Shop!$C$76</definedName>
    <definedName name="uptime">'P-1'!$C$35</definedName>
    <definedName localSheetId="2" name="furnace_y_dim">Universal!$C$116</definedName>
    <definedName localSheetId="6" name="powder_price">'P-50 Base'!$C$42</definedName>
    <definedName localSheetId="4" name="build_x">Shop!$C$71</definedName>
    <definedName localSheetId="7" name="total_yield">'P-50 Auto'!$C$26</definedName>
    <definedName name="support_vol">'P-1'!$C$9</definedName>
    <definedName name="dm_furnace_hw_consumables">Shop!$C$104</definedName>
    <definedName localSheetId="2" name="part_vol_scale">Universal!$C$78</definedName>
    <definedName localSheetId="7" name="build_layers">'P-50 Auto'!$C$24</definedName>
    <definedName localSheetId="7" name="part_x">'P-50 Auto'!$C$5</definedName>
    <definedName localSheetId="4" name="y_scale">Shop!$C$62</definedName>
    <definedName localSheetId="5" name="mim_furnace_y">'P-1'!$K$23</definedName>
    <definedName localSheetId="7" name="mim_furnace_x">'P-50 Auto'!$K$22</definedName>
    <definedName localSheetId="5" name="part_scale_x">'P-1'!$C$65</definedName>
    <definedName localSheetId="7" name="layer_speed">'P-50 Auto'!$C$63</definedName>
    <definedName localSheetId="2" name="furnace_msrp">Universal!$C$157</definedName>
    <definedName localSheetId="2" name="total_hours_yr">Universal!$C$106</definedName>
    <definedName localSheetId="5" name="depowder_trnaround">'P-1'!$C$78</definedName>
    <definedName localSheetId="7" name="part_vol">'P-50 Auto'!$C$10</definedName>
    <definedName localSheetId="5" name="part_x">'P-1'!$C$5</definedName>
    <definedName localSheetId="7" name="good_parts_job">'P-50 Auto'!$C$27</definedName>
    <definedName localSheetId="7" name="y_scale">'P-50 Auto'!$C$61</definedName>
    <definedName localSheetId="7" name="printer_xy_spacing">'P-50 Auto'!$C$86</definedName>
    <definedName localSheetId="2" name="wiper_life">Universal!$C$93</definedName>
    <definedName localSheetId="7" name="ppu_msrp">'P-50 Auto'!$C$117</definedName>
    <definedName localSheetId="4" name="printer_z_base">Shop!$C$89</definedName>
    <definedName localSheetId="6" name="furnace_depr">'P-50 Base'!$C$53</definedName>
    <definedName localSheetId="5" name="part_z">'P-1'!$C$7</definedName>
    <definedName name="Shop_8L">Inputs!$D$104:$D$125</definedName>
    <definedName localSheetId="7" name="powder_default_price">'P-50 Auto'!$C$42</definedName>
    <definedName localSheetId="7" name="avail_hours_yr">'P-50 Auto'!$C$33</definedName>
    <definedName localSheetId="7" name="dm_depr">'P-50 Auto'!$C$51</definedName>
    <definedName localSheetId="6" name="mim_furnace_x">'P-50 Base'!$K$22</definedName>
    <definedName localSheetId="2" name="ppu_msrp">Universal!$C$129</definedName>
    <definedName name="parts_job">Shop!$C$69</definedName>
    <definedName name="furnace_xy_spacing">Shop!$C$100</definedName>
    <definedName localSheetId="2" name="furnace_floorspace">Universal!$C$145</definedName>
    <definedName localSheetId="7" name="argon_rate">'P-50 Auto'!$C$54</definedName>
    <definedName name="region_sel">Shop!$C$47</definedName>
    <definedName name="part_scale_x">Shop!$C$65</definedName>
    <definedName localSheetId="5" name="print_time_trn">'P-1'!$C$26</definedName>
    <definedName localSheetId="7" name="depowder_msrp">'P-50 Auto'!$C$116</definedName>
    <definedName name="labor_rate">Shop!$C$50</definedName>
    <definedName localSheetId="6" name="part_capacity">'P-50 Base'!$C$37</definedName>
    <definedName localSheetId="2" name="build_x">Universal!$C$81</definedName>
    <definedName localSheetId="7" name="build_x">'P-50 Auto'!$C$70</definedName>
    <definedName localSheetId="5" name="part_vol">'P-1'!$C$10</definedName>
    <definedName localSheetId="6" name="furnace_index">'P-50 Base'!$C$108</definedName>
    <definedName localSheetId="5" name="furnace_part_scale_y">'P-1'!$C$98</definedName>
    <definedName localSheetId="4" name="powder_trnaround">Shop!$C$79</definedName>
    <definedName localSheetId="6" name="binder_purge_vol">'P-50 Base'!$C$83</definedName>
    <definedName localSheetId="5" name="material_sel">'P-1'!$C$41</definedName>
    <definedName localSheetId="2" name="sponge_msrp">Universal!$C$52</definedName>
    <definedName localSheetId="5" name="build_layers">'P-1'!$C$25</definedName>
    <definedName localSheetId="2" name="xlink_trnaround">Universal!$C$108</definedName>
    <definedName name="dm_furnace_msrp">Shop!$C$123</definedName>
    <definedName localSheetId="2" name="powder_price">Universal!$C$47</definedName>
    <definedName localSheetId="4" name="layer_speed">Shop!$C$64</definedName>
    <definedName localSheetId="2" name="dm_furnace_z">#REF!</definedName>
    <definedName localSheetId="5" name="layer_speed">'P-1'!$C$64</definedName>
    <definedName localSheetId="5" name="bed_density">'P-1'!$C$70</definedName>
    <definedName localSheetId="6" name="furnace_shelves">'P-50 Base'!$C$112</definedName>
    <definedName localSheetId="2" name="furnace_power_cons">Universal!$C$121</definedName>
    <definedName localSheetId="4" name="sponge_life">Shop!$C$87</definedName>
    <definedName localSheetId="6" name="total_hours_yr">'P-50 Base'!$C$106</definedName>
    <definedName localSheetId="5" name="printer_msrp">'P-1'!$C$118</definedName>
    <definedName localSheetId="2" name="floor_rate">Universal!$C$66</definedName>
    <definedName name="override_nesting">Shop!$C$21</definedName>
    <definedName localSheetId="2" name="powder_floorspace">Universal!$C$144</definedName>
    <definedName name="X160Pro">Inputs!$Q$104:$Q$125</definedName>
    <definedName localSheetId="2" name="depowder_trnaround">Universal!$C$109</definedName>
    <definedName localSheetId="6" name="printhead_life">'P-50 Base'!$C$85</definedName>
    <definedName localSheetId="2" name="binder_per_yr">Universal!$C$211</definedName>
    <definedName localSheetId="2" name="printer_xy_border">Universal!$C$97</definedName>
    <definedName localSheetId="2" name="region_sel">Universal!$C$53</definedName>
    <definedName localSheetId="5" name="avail_hours_yr">'P-1'!$C$34</definedName>
    <definedName localSheetId="7" name="furnace_xy_spacing">'P-50 Auto'!$C$95</definedName>
    <definedName localSheetId="7" name="furnace_depr">'P-50 Auto'!$C$52</definedName>
    <definedName localSheetId="2" name="powder_trnaround">Universal!$C$110</definedName>
    <definedName localSheetId="2" name="printer_xy_spacing">Universal!$C$99</definedName>
    <definedName localSheetId="6" name="furnace_part_scale_z">'P-50 Base'!$C$99</definedName>
    <definedName localSheetId="6" name="print_turnaround">'P-50 Base'!$C$76</definedName>
    <definedName localSheetId="6" name="floor_rate">'P-50 Base'!$C$57</definedName>
    <definedName localSheetId="2" name="mim_furnace_x">Universal!$K$6</definedName>
    <definedName localSheetId="2" name="print_time_trn">Universal!$C$29</definedName>
    <definedName localSheetId="6" name="furnace_power_cons">'P-50 Base'!$C$115</definedName>
    <definedName name="part_scale_y">Shop!$C$66</definedName>
    <definedName localSheetId="7" name="xlink_module_msrp">'P-50 Auto'!$C$115</definedName>
    <definedName localSheetId="6" name="weeks_yr">'P-50 Base'!$C$33</definedName>
    <definedName localSheetId="5" name="part_scale_z">'P-1'!$C$67</definedName>
    <definedName localSheetId="2" name="printer_index">Universal!$C$69</definedName>
    <definedName localSheetId="7" name="labor_rate">'P-50 Auto'!$C$48</definedName>
    <definedName localSheetId="4" name="printer_xy_spacing">Shop!$C$90</definedName>
    <definedName localSheetId="6" name="argon_rate">'P-50 Base'!$C$55</definedName>
    <definedName localSheetId="6" name="furnace_time_cycle">'P-50 Base'!$C$113</definedName>
    <definedName name="dm_furnace_z">Shop!$C$96</definedName>
    <definedName localSheetId="7" name="part_scale_x">'P-50 Auto'!$C$64</definedName>
    <definedName localSheetId="1" name="build_z">Shop!$C$73</definedName>
    <definedName localSheetId="5" name="binder_void_ratio">'P-1'!$C$82</definedName>
    <definedName localSheetId="2" name="powder_loss_percentage">Universal!$C$88</definedName>
    <definedName localSheetId="7" name="power_rate">'P-50 Auto'!$C$55</definedName>
    <definedName localSheetId="6" name="total_yield">'P-50 Base'!$C$27</definedName>
    <definedName name="printhead_msrp">Shop!$C$44</definedName>
    <definedName localSheetId="2" name="sponge_life">Universal!$C$94</definedName>
    <definedName localSheetId="2" name="build_vol">Universal!$C$85</definedName>
    <definedName name="part_only_vol">'P-1'!$C$8</definedName>
    <definedName localSheetId="7" name="furnace_gas_cons">'P-50 Auto'!$C$109</definedName>
    <definedName localSheetId="2" name="furnace_part_scale_y">Universal!$C$128</definedName>
    <definedName localSheetId="2" name="depowder_pwr">Universal!$C$137</definedName>
    <definedName localSheetId="5" name="depowder_msrp">'P-1'!$C$121</definedName>
    <definedName localSheetId="2" name="part_scale_x">Universal!$C$75</definedName>
    <definedName localSheetId="5" name="print_turnaround">'P-1'!$C$76</definedName>
    <definedName localSheetId="6" name="xlink_msrp">'P-50 Base'!$C$119</definedName>
    <definedName localSheetId="7" name="printer_z_base">'P-50 Auto'!$C$85</definedName>
    <definedName localSheetId="2" name="furnace_z_spacing">Universal!$C$131</definedName>
    <definedName localSheetId="6" name="region_sel">'P-50 Base'!$C$46</definedName>
    <definedName localSheetId="4" name="nitrogen_rate">Shop!$C$55</definedName>
    <definedName name="part_req">Shop!$C$60</definedName>
    <definedName localSheetId="2" name="override_nesting">Universal!$C$22</definedName>
    <definedName localSheetId="2" name="part_only_vol">Universal!$C$8</definedName>
    <definedName localSheetId="7" name="part_y">'P-50 Auto'!$C$6</definedName>
    <definedName localSheetId="6" name="furnace_xy_spacing">'P-50 Base'!$C$100</definedName>
    <definedName localSheetId="4" name="x_scale">Shop!$C$61</definedName>
    <definedName localSheetId="6" name="power_rate">'P-50 Base'!$C$56</definedName>
    <definedName localSheetId="2" name="powder_ratio">Universal!$C$87</definedName>
    <definedName localSheetId="5" name="part_req">'P-1'!$C$60</definedName>
    <definedName localSheetId="2" name="wiper_msrp">Universal!$C$51</definedName>
    <definedName localSheetId="5" name="parts_job">'P-1'!$C$69</definedName>
    <definedName localSheetId="6" name="sponge_life">'P-50 Base'!$C$87</definedName>
    <definedName localSheetId="6" name="part_vol_scale">'P-50 Base'!$C$68</definedName>
    <definedName localSheetId="2" name="xlink_msrp">Universal!$C$150</definedName>
    <definedName name="part_capacity">Shop!$C$37</definedName>
    <definedName name="dm_furnace_consumables_run">Shop!$C$103</definedName>
    <definedName localSheetId="5" name="part_vol_scale">'P-1'!$C$68</definedName>
  </definedNames>
  <calcPr/>
  <extLst>
    <ext uri="GoogleSheetsCustomDataVersion2">
      <go:sheetsCustomData xmlns:go="http://customooxmlschemas.google.com/" r:id="rId12" roundtripDataChecksum="RN4rIuO9DUBn/TT0+kT1CL8Vg1OOeRJ9v7Xnxamtz4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1">
      <text>
        <t xml:space="preserve">======
ID#AAAAiz6yCB4
Desktop Metal    (2022-10-24 16:58:03)
Includes 1 vacuum</t>
      </text>
    </comment>
    <comment authorId="0" ref="E61">
      <text>
        <t xml:space="preserve">======
ID#AAAAiz6yCB8
Desktop Metal    (2022-10-24 16:58:03)
Includes 1 vacuum</t>
      </text>
    </comment>
    <comment authorId="0" ref="J61">
      <text>
        <t xml:space="preserve">======
ID#AAAAiz6yCBs
tc={5495305B-06DF-47C6-A0DE-F7B168CFE6BF}    (2022-10-24 16:58:03)
[Threaded comment]
Your version of Excel allows you to read this threaded comment; however, any edits to it will get removed if the file is opened in a newer version of Excel. Learn more: https://go.microsoft.com/fwlink/?linkid=870924
Comment:
    includes electic vacuum</t>
      </text>
    </comment>
    <comment authorId="0" ref="F51">
      <text>
        <t xml:space="preserve">======
ID#AAAAiz6yCBw
Desktop Metal    (2022-10-24 16:58:03)
Includes 1 vacuum</t>
      </text>
    </comment>
    <comment authorId="0" ref="C61">
      <text>
        <t xml:space="preserve">======
ID#AAAAiz6yCBk
Desktop Metal    (2022-10-24 16:58:03)
Includes 1 vacuum</t>
      </text>
    </comment>
    <comment authorId="0" ref="G61">
      <text>
        <t xml:space="preserve">======
ID#AAAAiz6yCBo
Desktop Metal    (2022-10-24 16:58:03)
Includes 1 vacuum</t>
      </text>
    </comment>
    <comment authorId="0" ref="Q61">
      <text>
        <t xml:space="preserve">======
ID#AAAAiz6yCBc
tc={6EF4C041-D1B8-4792-9E45-6D6747099746}    (2022-10-24 16:58:03)
[Threaded comment]
Your version of Excel allows you to read this threaded comment; however, any edits to it will get removed if the file is opened in a newer version of Excel. Learn more: https://go.microsoft.com/fwlink/?linkid=870924
Comment:
    includes dust extractor and printhead</t>
      </text>
    </comment>
    <comment authorId="0" ref="G53">
      <text>
        <t xml:space="preserve">======
ID#AAAAiz6yCBM
Desktop Metal    (2022-10-24 16:58:03)
Includes 1 vacuum</t>
      </text>
    </comment>
    <comment authorId="0" ref="H51">
      <text>
        <t xml:space="preserve">======
ID#AAAAiz6yCBQ
Desktop Metal    (2022-10-24 16:58:03)
Includes 1 vacuum</t>
      </text>
    </comment>
    <comment authorId="0" ref="H53">
      <text>
        <t xml:space="preserve">======
ID#AAAAiz6yCBU
Desktop Metal    (2022-10-24 16:58:03)
Includes 1 vacuum</t>
      </text>
    </comment>
    <comment authorId="0" ref="G51">
      <text>
        <t xml:space="preserve">======
ID#AAAAiz6yCBY
Desktop Metal    (2022-10-24 16:58:03)
Includes 1 vacuum</t>
      </text>
    </comment>
    <comment authorId="0" ref="F53">
      <text>
        <t xml:space="preserve">======
ID#AAAAiz6yCBI
Desktop Metal    (2022-10-24 16:58:03)
Includes 1 vacuum</t>
      </text>
    </comment>
    <comment authorId="0" ref="I61">
      <text>
        <t xml:space="preserve">======
ID#AAAAiz6yCBA
tc={01EE27AE-5297-4EC3-9825-C45307F2EBE5}    (2022-10-24 16:58:03)
[Threaded comment]
Your version of Excel allows you to read this threaded comment; however, any edits to it will get removed if the file is opened in a newer version of Excel. Learn more: https://go.microsoft.com/fwlink/?linkid=870924
Comment:
    includes electic vacuum</t>
      </text>
    </comment>
    <comment authorId="0" ref="K61">
      <text>
        <t xml:space="preserve">======
ID#AAAAiz6yCA0
tc={5CCE9E4C-1EAD-4162-A9EF-8FCD64A4B83A}    (2022-10-24 16:58:03)
[Threaded comment]
Your version of Excel allows you to read this threaded comment; however, any edits to it will get removed if the file is opened in a newer version of Excel. Learn more: https://go.microsoft.com/fwlink/?linkid=870924
Comment:
    includes electic vacuum</t>
      </text>
    </comment>
    <comment authorId="0" ref="C53">
      <text>
        <t xml:space="preserve">======
ID#AAAAiz6yCA4
Desktop Metal    (2022-10-24 16:58:03)
Includes 1 vacuum</t>
      </text>
    </comment>
    <comment authorId="0" ref="L66">
      <text>
        <t xml:space="preserve">======
ID#AAAAiz6yCA8
Desktop Metal    (2022-10-24 16:58:03)
Sieve + Jar Milll</t>
      </text>
    </comment>
    <comment authorId="0" ref="F61">
      <text>
        <t xml:space="preserve">======
ID#AAAAiz6yCAs
Desktop Metal    (2022-10-24 16:58:03)
Includes 1 vacuum</t>
      </text>
    </comment>
    <comment authorId="0" ref="C196">
      <text>
        <t xml:space="preserve">======
ID#AAAAiz6yCAc
Desktop Metal    (2022-10-24 16:58:03)
Excludes heating elements &amp; insulation</t>
      </text>
    </comment>
    <comment authorId="0" ref="D51">
      <text>
        <t xml:space="preserve">======
ID#AAAAiz6yCAg
Desktop Metal    (2022-10-24 16:58:03)
Includes 1 vacuum</t>
      </text>
    </comment>
    <comment authorId="0" ref="O61">
      <text>
        <t xml:space="preserve">======
ID#AAAAiz6yCAQ
tc={5091DE50-59B6-4616-8045-69E7F9F705D0}    (2022-10-24 16:58:03)
[Threaded comment]
Your version of Excel allows you to read this threaded comment; however, any edits to it will get removed if the file is opened in a newer version of Excel. Learn more: https://go.microsoft.com/fwlink/?linkid=870924
Comment:
    includes dust extractor</t>
      </text>
    </comment>
    <comment authorId="0" ref="E53">
      <text>
        <t xml:space="preserve">======
ID#AAAAiz6yCAE
Desktop Metal    (2022-10-24 16:58:03)
Includes 1 vacuum</t>
      </text>
    </comment>
    <comment authorId="0" ref="H61">
      <text>
        <t xml:space="preserve">======
ID#AAAAiz6yCAM
Desktop Metal    (2022-10-24 16:58:03)
Includes 1 vacuum</t>
      </text>
    </comment>
    <comment authorId="0" ref="D53">
      <text>
        <t xml:space="preserve">======
ID#AAAAiz6yCAA
Desktop Metal    (2022-10-24 16:58:03)
Includes 1 vacuum</t>
      </text>
    </comment>
    <comment authorId="0" ref="C51">
      <text>
        <t xml:space="preserve">======
ID#AAAAiz6yB_4
Desktop Metal    (2022-10-24 16:58:03)
Includes 1 vacuum</t>
      </text>
    </comment>
    <comment authorId="0" ref="D61">
      <text>
        <t xml:space="preserve">======
ID#AAAAiz6yB_8
Desktop Metal    (2022-10-24 16:58:03)
Includes 1 vacuum</t>
      </text>
    </comment>
  </commentList>
  <extLst>
    <ext uri="GoogleSheetsCustomDataVersion2">
      <go:sheetsCustomData xmlns:go="http://customooxmlschemas.google.com/" r:id="rId1" roundtripDataSignature="AMtx7mgwl/PYL66aw+S+kz52Bp/R9v5/P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2">
      <text>
        <t xml:space="preserve">======
ID#AAAAiz6yCBE
Desktop Metal    (2022-10-24 16:58:03)
From ExOne</t>
      </text>
    </comment>
    <comment authorId="0" ref="C61">
      <text>
        <t xml:space="preserve">======
ID#AAAAiz6yCAk
Desktop Metal    (2022-10-24 16:58:03)
ExOne cost $0.0005</t>
      </text>
    </comment>
    <comment authorId="0" ref="C63">
      <text>
        <t xml:space="preserve">======
ID#AAAAiz6yCAY
Desktop Metal    (2022-10-24 16:58:03)
ExOne model: $0.0005</t>
      </text>
    </comment>
    <comment authorId="0" ref="C106">
      <text>
        <t xml:space="preserve">======
ID#AAAAiz6yCAU
Desktop Metal    (2022-10-24 16:58:03)
Based on weeks / year input.</t>
      </text>
    </comment>
  </commentList>
  <extLst>
    <ext uri="GoogleSheetsCustomDataVersion2">
      <go:sheetsCustomData xmlns:go="http://customooxmlschemas.google.com/" r:id="rId1" roundtripDataSignature="AMtx7mj7YMCDMgnXeM7VTnHwqBAugL20t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3">
      <text>
        <t xml:space="preserve">======
ID#AAAAiz6yCBg
Desktop Metal    (2022-10-24 16:58:03)
Excludes heating elements &amp; insulation</t>
      </text>
    </comment>
    <comment authorId="0" ref="K50">
      <text>
        <t xml:space="preserve">======
ID#AAAAiz6yCAw
Desktop Metal    (2022-10-24 16:58:03)
Assumes 15 min of labor per build for powder handling.</t>
      </text>
    </comment>
  </commentList>
  <extLst>
    <ext uri="GoogleSheetsCustomDataVersion2">
      <go:sheetsCustomData xmlns:go="http://customooxmlschemas.google.com/" r:id="rId1" roundtripDataSignature="AMtx7mhSnkn90RPyTwA05aogf79HYpByM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======
ID#AAAAiz6yCAo
Desktop Metal    (2022-10-24 16:58:03)
Assumption is base air debind time is 6 hrs.</t>
      </text>
    </comment>
    <comment authorId="0" ref="K50">
      <text>
        <t xml:space="preserve">======
ID#AAAAiz6yCAI
Desktop Metal    (2022-10-24 16:58:03)
Assumes 15 min of labor per build for powder handling.</t>
      </text>
    </comment>
  </commentList>
  <extLst>
    <ext uri="GoogleSheetsCustomDataVersion2">
      <go:sheetsCustomData xmlns:go="http://customooxmlschemas.google.com/" r:id="rId1" roundtripDataSignature="AMtx7mikRYDwNvDGi6TvGflDfySMvbDBBg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======
ID#AAAAiz6yB_w
Desktop Metal    (2022-10-24 16:58:03)
Assumption is base air debind time is 6 hrs.</t>
      </text>
    </comment>
  </commentList>
  <extLst>
    <ext uri="GoogleSheetsCustomDataVersion2">
      <go:sheetsCustomData xmlns:go="http://customooxmlschemas.google.com/" r:id="rId1" roundtripDataSignature="AMtx7mhU75aJo0STuV77QnJ3JfNvDwKMD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======
ID#AAAAiz6yB_0
Desktop Metal    (2022-10-24 16:58:03)
Assumption is base air debind time is 6 hrs.</t>
      </text>
    </comment>
  </commentList>
  <extLst>
    <ext uri="GoogleSheetsCustomDataVersion2">
      <go:sheetsCustomData xmlns:go="http://customooxmlschemas.google.com/" r:id="rId1" roundtripDataSignature="AMtx7mjsu199X4cD6YhJxTooGpdbs4fQ8g=="/>
    </ext>
  </extLst>
</comments>
</file>

<file path=xl/sharedStrings.xml><?xml version="1.0" encoding="utf-8"?>
<sst xmlns="http://schemas.openxmlformats.org/spreadsheetml/2006/main" count="2920" uniqueCount="499">
  <si>
    <t>Version</t>
  </si>
  <si>
    <t>Date</t>
  </si>
  <si>
    <t>Description</t>
  </si>
  <si>
    <t>13.1.0</t>
  </si>
  <si>
    <t>- changed ExOne printer names to X-Series nomenclature
- corrected cells Y34 and Y35 to display correct information
- updated MSRP for all systems to match current pricebook</t>
  </si>
  <si>
    <t>13.1.1</t>
  </si>
  <si>
    <t>- corrected cell C68 invalid reference</t>
  </si>
  <si>
    <t>13.1.2</t>
  </si>
  <si>
    <t>- added SiC cost and density data to lookup tables
- corrected error where incorrect printer model was shown in cost summary table</t>
  </si>
  <si>
    <t>13.1.3</t>
  </si>
  <si>
    <t>- added S7</t>
  </si>
  <si>
    <t>13.1.4</t>
  </si>
  <si>
    <t>- fixed ShopPro layer speed to match Shop
- fixed ShopPro consumables not calculating</t>
  </si>
  <si>
    <t>13.2.0</t>
  </si>
  <si>
    <t>- added ShopPlus 4L, 8L, 12L
- added ShopPro 4L, 8L, 12L
- updated Al6061 pricing on Production Series from $10--&gt;$30/kg
- updated X25Pro layer time to 50s
-updated X160Pro layer time to 45s
- corrected furnace XY and Z spacing lookups in tab 'Universal', cells C128 and C129
- removed X160Pro Inert
- corrected DM Furnace MSRP</t>
  </si>
  <si>
    <t>13.2.1</t>
  </si>
  <si>
    <t>- corrected z-height for ShopPlus 4L and 8L
- corrected cell C68 on "Universal" tab to reflect correct value when Furnace set = 1
- removed formula from cell C40 "Universal"</t>
  </si>
  <si>
    <t>13.2.2</t>
  </si>
  <si>
    <t>- added maximum part quantity produced with single unit configuration - C40
- enter this number into C41 to generate single unit configuration cost analysis
- updated MSRPs to pricelist
- added material specific gas consumption to DM Furnace
- added IN625 to Shop material availability</t>
  </si>
  <si>
    <t>13.2.3</t>
  </si>
  <si>
    <t>- fixed P-50 Auto material selection
- fixed powder pricing reference in notes
- added IN718 for Shop System models</t>
  </si>
  <si>
    <t>13.2.4</t>
  </si>
  <si>
    <t>- added CM Furnace Tube Furnace 1630-20
- added output section without depreciated part cost
- removed "Shop_4L" from donut chart title block
- added "DM HH Stainless", "440C," "CrMnMoN," and  "WC-12Co" to Production Series 
- verified MSRP hardware pricing to Q4-22 Price List
- updated InnoventX DIMMs to match datasheet</t>
  </si>
  <si>
    <t>13.2.5</t>
  </si>
  <si>
    <t>- Corrected InnoventX y-dim from 125 to 160
- adjusted locked cell permissions for override nesting
- adjusted locked cell permissions for parts required/ year</t>
  </si>
  <si>
    <t>13.2.6</t>
  </si>
  <si>
    <t>- Modified X-series binder/cleaner/crosslink times based on process team (max Inks) spreadsheet
- auto calculate setter raft volume for TurboFuse with X-series
- added binder picklist for each printer
- updated material availability based on binder selection
- updated raw powder pricing based on available market data
- Updated DM Furnace to include insulation pack consumable
- added PureSinter draft specifications
– Updated Elnik furnaces with latest spec data</t>
  </si>
  <si>
    <t>- Corrected X-Series raw powder pricing for 17-4PH and 316L</t>
  </si>
  <si>
    <t>- Updated 3rd party furnace costs</t>
  </si>
  <si>
    <t>Material</t>
  </si>
  <si>
    <t>Shop_4L</t>
  </si>
  <si>
    <t>Shop_8L</t>
  </si>
  <si>
    <t>Shop_12L</t>
  </si>
  <si>
    <t>ShopPlus_4L</t>
  </si>
  <si>
    <t>ShopPlus_8L</t>
  </si>
  <si>
    <t>ShopPlus_12L</t>
  </si>
  <si>
    <t>ShopPro_4L</t>
  </si>
  <si>
    <t>ShopPro_8L</t>
  </si>
  <si>
    <t>ShopPro_12L</t>
  </si>
  <si>
    <t>P_1</t>
  </si>
  <si>
    <t>P_50_Base</t>
  </si>
  <si>
    <t>P_50_Auto</t>
  </si>
  <si>
    <t>InnoventX</t>
  </si>
  <si>
    <t>X25Pro</t>
  </si>
  <si>
    <t>X160Pro</t>
  </si>
  <si>
    <t>x</t>
  </si>
  <si>
    <t>Part inputs</t>
  </si>
  <si>
    <t>X-scale</t>
  </si>
  <si>
    <t>Y-scale</t>
  </si>
  <si>
    <t>Z-scale</t>
  </si>
  <si>
    <t>Printer inputs</t>
  </si>
  <si>
    <t>Layer speed</t>
  </si>
  <si>
    <t>sec</t>
  </si>
  <si>
    <t>X-Series Layer speed with TurboFuse</t>
  </si>
  <si>
    <t>Build box X-dim</t>
  </si>
  <si>
    <t>mm</t>
  </si>
  <si>
    <t>Build box Y-dim</t>
  </si>
  <si>
    <t>Build box Z-dim</t>
  </si>
  <si>
    <t>Bed density</t>
  </si>
  <si>
    <t>Powder + overflow ratio</t>
  </si>
  <si>
    <t>Powder loss percentage</t>
  </si>
  <si>
    <t>Binder void ratio</t>
  </si>
  <si>
    <t>Purge frequency</t>
  </si>
  <si>
    <t>layers</t>
  </si>
  <si>
    <t>Binder purge volume</t>
  </si>
  <si>
    <t>mL</t>
  </si>
  <si>
    <t>Binder purge btwn parts</t>
  </si>
  <si>
    <t>Yes</t>
  </si>
  <si>
    <t>No</t>
  </si>
  <si>
    <t>Printer XY border</t>
  </si>
  <si>
    <t>Printer Z base plate</t>
  </si>
  <si>
    <t>Printer XY spacing</t>
  </si>
  <si>
    <t>Printer Z spacing</t>
  </si>
  <si>
    <t>Printer layer thickness</t>
  </si>
  <si>
    <t>Min layer thickness</t>
  </si>
  <si>
    <t>um</t>
  </si>
  <si>
    <t>Max layer thickness</t>
  </si>
  <si>
    <t>Increment</t>
  </si>
  <si>
    <t>Default</t>
  </si>
  <si>
    <t>Auxiliary equipment inputs</t>
  </si>
  <si>
    <t>Crosslink time</t>
  </si>
  <si>
    <t>hrs</t>
  </si>
  <si>
    <t>SPJ = (build height / 30 * 6) + (build height / 30 * 2) + 10 + 10 = hours</t>
  </si>
  <si>
    <t>X-Series Crosslink time with TurboFuse</t>
  </si>
  <si>
    <t>Printer builds / oven run</t>
  </si>
  <si>
    <t>all X-series  Metal Fuse = 12+(((build height - 25.4)/25.4)*4)</t>
  </si>
  <si>
    <t>Powder blender capacity</t>
  </si>
  <si>
    <t>kg</t>
  </si>
  <si>
    <t>Printers / PPU auto</t>
  </si>
  <si>
    <t>Depowders / PPU auto</t>
  </si>
  <si>
    <t>Consumables inputs</t>
  </si>
  <si>
    <t>Printhead life</t>
  </si>
  <si>
    <t>layers / L</t>
  </si>
  <si>
    <t>Wiper cartridge life</t>
  </si>
  <si>
    <t>Binder sponge life</t>
  </si>
  <si>
    <t>L</t>
  </si>
  <si>
    <t>Cleaner frequency</t>
  </si>
  <si>
    <t>Cleaner volume</t>
  </si>
  <si>
    <t>Turnaround labor inputs</t>
  </si>
  <si>
    <t>Print turnaround time</t>
  </si>
  <si>
    <t>Crosslink turnaround time</t>
  </si>
  <si>
    <t>Depowder turnaround time</t>
  </si>
  <si>
    <t>Powder blender turnaround time</t>
  </si>
  <si>
    <t>PPU auto turnaround time</t>
  </si>
  <si>
    <t>Equipment floorspace</t>
  </si>
  <si>
    <t>Printer floorspace</t>
  </si>
  <si>
    <t>m2</t>
  </si>
  <si>
    <t>Crosslink floorspace</t>
  </si>
  <si>
    <t>Depowder floorspace</t>
  </si>
  <si>
    <t>Powder processing floorspace</t>
  </si>
  <si>
    <t>Equipment power</t>
  </si>
  <si>
    <t>Printer power</t>
  </si>
  <si>
    <t>kW</t>
  </si>
  <si>
    <t>Crosslink power</t>
  </si>
  <si>
    <t>Depowder power</t>
  </si>
  <si>
    <t>Powder processing power</t>
  </si>
  <si>
    <t>Equipment MSRPs</t>
  </si>
  <si>
    <t>Printer MSRP</t>
  </si>
  <si>
    <t>Kegs MSRP</t>
  </si>
  <si>
    <t>Crosslink MSRP</t>
  </si>
  <si>
    <t>Crosslink module MSRP</t>
  </si>
  <si>
    <t>cost $429 ea oven - watlow P/N PM6R1CJ-BAAAPWP</t>
  </si>
  <si>
    <t>Depowder station MSRP</t>
  </si>
  <si>
    <t>Powder processing MSRP</t>
  </si>
  <si>
    <t>DM Furnace MSRP</t>
  </si>
  <si>
    <t>DM vacuum MSRP</t>
  </si>
  <si>
    <t>Transfer cart MSRP</t>
  </si>
  <si>
    <t>Build box MSRP</t>
  </si>
  <si>
    <t>Consumable MSRPs</t>
  </si>
  <si>
    <t>Binder MSRP</t>
  </si>
  <si>
    <t>Binder Tier 2 MSRP</t>
  </si>
  <si>
    <t>Binder Tier 3 MSRP</t>
  </si>
  <si>
    <t>Printheads MSRP</t>
  </si>
  <si>
    <t>Wiper cartridge MSRP</t>
  </si>
  <si>
    <t>Binder sponge MSRP</t>
  </si>
  <si>
    <t>Cleaner MSRP</t>
  </si>
  <si>
    <t>Material MSRPs ($/kg)</t>
  </si>
  <si>
    <t>17-4PH</t>
  </si>
  <si>
    <t>DM HH Stainless</t>
  </si>
  <si>
    <t>304L</t>
  </si>
  <si>
    <t>316L</t>
  </si>
  <si>
    <t>440C</t>
  </si>
  <si>
    <t>CrMnMoN</t>
  </si>
  <si>
    <t>Al 6061</t>
  </si>
  <si>
    <t>CoCrMo</t>
  </si>
  <si>
    <t xml:space="preserve"> </t>
  </si>
  <si>
    <t>Cu</t>
  </si>
  <si>
    <t>D2</t>
  </si>
  <si>
    <t>Gold</t>
  </si>
  <si>
    <t>H13</t>
  </si>
  <si>
    <t>IN625</t>
  </si>
  <si>
    <t>IN718</t>
  </si>
  <si>
    <t>M2</t>
  </si>
  <si>
    <t>S7</t>
  </si>
  <si>
    <t>Silver</t>
  </si>
  <si>
    <t>Ti-64</t>
  </si>
  <si>
    <t>WC-12Co</t>
  </si>
  <si>
    <t>SiC</t>
  </si>
  <si>
    <t>Material availability</t>
  </si>
  <si>
    <t>Material debind atmosphere</t>
  </si>
  <si>
    <t>Hydrogen</t>
  </si>
  <si>
    <t>Air</t>
  </si>
  <si>
    <t>Argon</t>
  </si>
  <si>
    <t>Material sintering atmosphere</t>
  </si>
  <si>
    <t>Forming</t>
  </si>
  <si>
    <t>Nitrogen</t>
  </si>
  <si>
    <t>Vacuum</t>
  </si>
  <si>
    <t>DM 1.6</t>
  </si>
  <si>
    <t>DM PureSinter</t>
  </si>
  <si>
    <t>MIM3011L</t>
  </si>
  <si>
    <t>MIM3015</t>
  </si>
  <si>
    <t>MIM3025</t>
  </si>
  <si>
    <t>MIM3045</t>
  </si>
  <si>
    <t>MIM3675</t>
  </si>
  <si>
    <t>MIM3009</t>
  </si>
  <si>
    <t>CM  1630-20</t>
  </si>
  <si>
    <t>Continuous</t>
  </si>
  <si>
    <t>MIM furnace specifications</t>
  </si>
  <si>
    <t>DM 1.6 Gas Consumption</t>
  </si>
  <si>
    <t>PureSinter Gas Consumption</t>
  </si>
  <si>
    <t>Furnace X-dim</t>
  </si>
  <si>
    <t>Furnace Y-dim</t>
  </si>
  <si>
    <t>Furnace Z-dim</t>
  </si>
  <si>
    <t>Furnace retort volume</t>
  </si>
  <si>
    <t>ft3</t>
  </si>
  <si>
    <t>Furnace shelves</t>
  </si>
  <si>
    <t>Furnace cycle time</t>
  </si>
  <si>
    <t>Furnace gas consumption</t>
  </si>
  <si>
    <t>L/hr</t>
  </si>
  <si>
    <t>Furnace power consumption</t>
  </si>
  <si>
    <t>Furnace rack + setter thickness</t>
  </si>
  <si>
    <t>Furnace XY spacing</t>
  </si>
  <si>
    <t>Furnace Z spacing</t>
  </si>
  <si>
    <t>Furnace MSRP</t>
  </si>
  <si>
    <t>Furnace floorspace</t>
  </si>
  <si>
    <t>Furnace utilities / hr</t>
  </si>
  <si>
    <t>Furnace consumables / hr</t>
  </si>
  <si>
    <t>Furnace consumables / run</t>
  </si>
  <si>
    <t>Furnace equipment / run</t>
  </si>
  <si>
    <t>Furnace consumables / kg</t>
  </si>
  <si>
    <t>Air debind oven specifications</t>
  </si>
  <si>
    <t>Oven X-dim</t>
  </si>
  <si>
    <t>Oven Y-dim</t>
  </si>
  <si>
    <t>Oven Z-dim</t>
  </si>
  <si>
    <t>Oven shelves</t>
  </si>
  <si>
    <t>Oven cycle time</t>
  </si>
  <si>
    <t>Oven gas consumption</t>
  </si>
  <si>
    <t>Oven power consumption</t>
  </si>
  <si>
    <t>Oven rack + setter thickness</t>
  </si>
  <si>
    <t>Oven XY spacing</t>
  </si>
  <si>
    <t>Oven Z spacing</t>
  </si>
  <si>
    <t>Oven MSRP</t>
  </si>
  <si>
    <t>Oven floorspace</t>
  </si>
  <si>
    <t>Oven utilities / hr</t>
  </si>
  <si>
    <t>Oven consumables / hr</t>
  </si>
  <si>
    <t>Privileged &amp; DM Confidential</t>
  </si>
  <si>
    <t>Printer &amp; aux MSRP</t>
  </si>
  <si>
    <t>Part inputs (pre-scaling)</t>
  </si>
  <si>
    <t>Printer usage calculation</t>
  </si>
  <si>
    <t>Furnace part cost calculation</t>
  </si>
  <si>
    <t>Part nesting density</t>
  </si>
  <si>
    <t>X-dim (incl. supports)</t>
  </si>
  <si>
    <t>Powder volume / part</t>
  </si>
  <si>
    <t>mm3</t>
  </si>
  <si>
    <t>Furnace selection</t>
  </si>
  <si>
    <t>Total equipment MSRP</t>
  </si>
  <si>
    <t>Y-dim (incl. supports)</t>
  </si>
  <si>
    <t>Powder mass / part</t>
  </si>
  <si>
    <t>g</t>
  </si>
  <si>
    <t>Printer builds / week</t>
  </si>
  <si>
    <t>Z-dim (incl. supports)</t>
  </si>
  <si>
    <t>Powder mass / build</t>
  </si>
  <si>
    <t>Furnaces req.</t>
  </si>
  <si>
    <t>Printer builds / month</t>
  </si>
  <si>
    <t>Part volume</t>
  </si>
  <si>
    <t>Binder volume / part</t>
  </si>
  <si>
    <t>Printer builds / year</t>
  </si>
  <si>
    <t>Support volume</t>
  </si>
  <si>
    <t>Binder volume / build</t>
  </si>
  <si>
    <t>Furnace parts / run</t>
  </si>
  <si>
    <t>Operating (i.e. "running") part costs</t>
  </si>
  <si>
    <t>Part + support volume</t>
  </si>
  <si>
    <t>Cleaner volume / build</t>
  </si>
  <si>
    <t>Furnace loading parts / hour</t>
  </si>
  <si>
    <t>Printed part cost</t>
  </si>
  <si>
    <t>Printers required (rounded)</t>
  </si>
  <si>
    <t>Run time + turnaround</t>
  </si>
  <si>
    <t>Build inputs &amp; process capacity</t>
  </si>
  <si>
    <t>Printer utilization</t>
  </si>
  <si>
    <t>Time per printer build</t>
  </si>
  <si>
    <t>Printer model</t>
  </si>
  <si>
    <t>Builds / year</t>
  </si>
  <si>
    <t>Build capacity / year</t>
  </si>
  <si>
    <t>Binder Used</t>
  </si>
  <si>
    <t>Builds / month</t>
  </si>
  <si>
    <t>Runs / year</t>
  </si>
  <si>
    <t>Include sintering?</t>
  </si>
  <si>
    <t>Printer utilization (% of available)</t>
  </si>
  <si>
    <t>Furnaces required (rounded)</t>
  </si>
  <si>
    <t>Burdened (i.e. "depreciated") part costs</t>
  </si>
  <si>
    <t>Printer utilization (% 24x7)</t>
  </si>
  <si>
    <t>Furnace utilization</t>
  </si>
  <si>
    <t>Debind + Sinter</t>
  </si>
  <si>
    <t>Integrated</t>
  </si>
  <si>
    <t>Build box nesting density</t>
  </si>
  <si>
    <t>Furnace investment</t>
  </si>
  <si>
    <t>Limit furnace to QTY 1</t>
  </si>
  <si>
    <t>Printed part cost / cc</t>
  </si>
  <si>
    <t>Calculated nested parts / job</t>
  </si>
  <si>
    <t>Printer part cost calculation</t>
  </si>
  <si>
    <t>Depreciation / part</t>
  </si>
  <si>
    <t>Labor hrs / year</t>
  </si>
  <si>
    <t>Calculated build height</t>
  </si>
  <si>
    <t>Printer investment (incl. build box)</t>
  </si>
  <si>
    <t>Consumables / part</t>
  </si>
  <si>
    <t>Notes &amp; assumptions:</t>
  </si>
  <si>
    <t>Calculated part layers</t>
  </si>
  <si>
    <t>Labor $ / part</t>
  </si>
  <si>
    <t>1. Pricing is not final unless on an official DM quote and is subject to change. Does not include installation, training, shipping, or taxes.</t>
  </si>
  <si>
    <t>Override nesting</t>
  </si>
  <si>
    <t>Powder $ / part</t>
  </si>
  <si>
    <t>Utilities / part</t>
  </si>
  <si>
    <t>Override parts / job</t>
  </si>
  <si>
    <t>Binder $ / part</t>
  </si>
  <si>
    <t>3. Consumables includes printer items (e.g. printheads, wiper cartridges, etc.) and, if applicable, Desktop Metal Furnace items (e.g. setter plates, shelving, oil, liners, etc.).</t>
  </si>
  <si>
    <t>Override build height</t>
  </si>
  <si>
    <t>Depreciation $ / part</t>
  </si>
  <si>
    <t>Powder processing part cost calculation</t>
  </si>
  <si>
    <t>4. Includes utilities costs for gas (as required), electricity, and floorspace.</t>
  </si>
  <si>
    <t>Override part layers</t>
  </si>
  <si>
    <t>Consumables $ / part</t>
  </si>
  <si>
    <t>PPU auto?</t>
  </si>
  <si>
    <t>Layer thickness</t>
  </si>
  <si>
    <t>Loose powder / build</t>
  </si>
  <si>
    <t>Layer thickness default</t>
  </si>
  <si>
    <t>Utilities $ / part</t>
  </si>
  <si>
    <t>Printed layers</t>
  </si>
  <si>
    <t>Drying oven part cost calculation</t>
  </si>
  <si>
    <t>Powder capacity / year</t>
  </si>
  <si>
    <t>Overall process yield</t>
  </si>
  <si>
    <t>Blenders required (rounded)</t>
  </si>
  <si>
    <t>Good parts / job</t>
  </si>
  <si>
    <t>Powder blender utilization (hrs)</t>
  </si>
  <si>
    <t>Cost model template output</t>
  </si>
  <si>
    <t>PPU autos required (rounded)</t>
  </si>
  <si>
    <t>Printer</t>
  </si>
  <si>
    <t>Raw materials</t>
  </si>
  <si>
    <t>Total</t>
  </si>
  <si>
    <t>Raw Materials</t>
  </si>
  <si>
    <t>Parts per build</t>
  </si>
  <si>
    <t>Printer operations inputs</t>
  </si>
  <si>
    <t>Ovens required (rounded)</t>
  </si>
  <si>
    <t>PPU utilization (hrs)</t>
  </si>
  <si>
    <t>Consumables</t>
  </si>
  <si>
    <t>Nesting density</t>
  </si>
  <si>
    <t>Hours / day</t>
  </si>
  <si>
    <t>Drying oven utilization</t>
  </si>
  <si>
    <t>Powder processing investment</t>
  </si>
  <si>
    <t>Depreciation</t>
  </si>
  <si>
    <t>Parts per furnace run</t>
  </si>
  <si>
    <t>Labor</t>
  </si>
  <si>
    <t>Days / week</t>
  </si>
  <si>
    <t>Drying oven investment</t>
  </si>
  <si>
    <t>Builds per furnace run</t>
  </si>
  <si>
    <t>Utilities</t>
  </si>
  <si>
    <t>Weeks / year</t>
  </si>
  <si>
    <t>Parts per week</t>
  </si>
  <si>
    <t>Drying Oven</t>
  </si>
  <si>
    <t>3Yr Items</t>
  </si>
  <si>
    <t>Available hours / year</t>
  </si>
  <si>
    <t>Parts per year</t>
  </si>
  <si>
    <t>Uptime</t>
  </si>
  <si>
    <t>Operating part cost</t>
  </si>
  <si>
    <t>Depowder</t>
  </si>
  <si>
    <t>Uptime hours / year</t>
  </si>
  <si>
    <t>Operating cost / cc</t>
  </si>
  <si>
    <t>Good parts / printer / year</t>
  </si>
  <si>
    <t>Fully burdened part cost</t>
  </si>
  <si>
    <t>Furnace</t>
  </si>
  <si>
    <t>Minimum config max capability</t>
  </si>
  <si>
    <t>Depowder part cost calculation</t>
  </si>
  <si>
    <t>Fully burdened cost / cc</t>
  </si>
  <si>
    <t>Parts required / year</t>
  </si>
  <si>
    <t>Depowdered parts / hour</t>
  </si>
  <si>
    <t>Cost &amp; other inputs</t>
  </si>
  <si>
    <t>Blender</t>
  </si>
  <si>
    <t>Material selection</t>
  </si>
  <si>
    <t>Depowders required (rounded)</t>
  </si>
  <si>
    <t>Powder MSRP override</t>
  </si>
  <si>
    <t>$/kg</t>
  </si>
  <si>
    <t>Depowder utilization</t>
  </si>
  <si>
    <t>Powder MSRP default</t>
  </si>
  <si>
    <t>Depowder investment</t>
  </si>
  <si>
    <t>$/L</t>
  </si>
  <si>
    <t>Region (currency)</t>
  </si>
  <si>
    <t>NAM</t>
  </si>
  <si>
    <t>Labor, equipment, facilities inputs</t>
  </si>
  <si>
    <t>Labor rate</t>
  </si>
  <si>
    <t>$/hr</t>
  </si>
  <si>
    <t>Depowdering parts / hour</t>
  </si>
  <si>
    <t>Printer depreciation</t>
  </si>
  <si>
    <t>yrs</t>
  </si>
  <si>
    <t>Furnace depreciation</t>
  </si>
  <si>
    <t>Nitrogen gas rate</t>
  </si>
  <si>
    <t>Hydrogen gas rate</t>
  </si>
  <si>
    <t>Argon gas rate</t>
  </si>
  <si>
    <t>Forming gas rate</t>
  </si>
  <si>
    <t>Power rate</t>
  </si>
  <si>
    <t>$/kWh</t>
  </si>
  <si>
    <t>Floorspace rate / year</t>
  </si>
  <si>
    <t>$/m2</t>
  </si>
  <si>
    <t>Printer &amp; aux equipment inputs</t>
  </si>
  <si>
    <t>Printer index</t>
  </si>
  <si>
    <t>X-dim scaled</t>
  </si>
  <si>
    <t>Y-dim scaled</t>
  </si>
  <si>
    <t>Z-dim scaled</t>
  </si>
  <si>
    <t>Volume scaled</t>
  </si>
  <si>
    <t>Parts / job</t>
  </si>
  <si>
    <t>Build height</t>
  </si>
  <si>
    <t>Build box volume</t>
  </si>
  <si>
    <t>Build box quantity</t>
  </si>
  <si>
    <t>Total hours / year</t>
  </si>
  <si>
    <t>Furnace inputs</t>
  </si>
  <si>
    <t>Furnace index</t>
  </si>
  <si>
    <t>$/run</t>
  </si>
  <si>
    <t>Furnace X-dim scaled</t>
  </si>
  <si>
    <t>Furnace Y-dim scaled</t>
  </si>
  <si>
    <t>Furnace Z-dim scaled</t>
  </si>
  <si>
    <t>2 ft3 Debind oven</t>
  </si>
  <si>
    <t>4 ft3 Debind oven</t>
  </si>
  <si>
    <t>6 ft3 Debind oven</t>
  </si>
  <si>
    <t>12 ft3 Debind oven</t>
  </si>
  <si>
    <t>Material index</t>
  </si>
  <si>
    <t>Selected density</t>
  </si>
  <si>
    <t>kg/mm3</t>
  </si>
  <si>
    <t>Binder usage</t>
  </si>
  <si>
    <t>Binder &lt; 1,500 L / year (7 skids)</t>
  </si>
  <si>
    <t>Binder &lt; 3,000 L/ year (14 skids)</t>
  </si>
  <si>
    <t>Binder &gt; 3,000 L/year</t>
  </si>
  <si>
    <t>Weighted average binder price</t>
  </si>
  <si>
    <t>P-1/P-50 Default Layer Thickness</t>
  </si>
  <si>
    <t>X shrink</t>
  </si>
  <si>
    <t>Y shrink</t>
  </si>
  <si>
    <t>Z shrink</t>
  </si>
  <si>
    <t>SHOP SYSTEM</t>
  </si>
  <si>
    <t>Shop System part cost outputs</t>
  </si>
  <si>
    <t>DM equipment MSRP</t>
  </si>
  <si>
    <t>DM furnace part cost calculation</t>
  </si>
  <si>
    <t>Furnaces required</t>
  </si>
  <si>
    <t>DM furnaces required (rounded)</t>
  </si>
  <si>
    <t>DM furnace utilization</t>
  </si>
  <si>
    <t>Pricing model</t>
  </si>
  <si>
    <t>Base</t>
  </si>
  <si>
    <t>DM furnace investment</t>
  </si>
  <si>
    <t>Build box size</t>
  </si>
  <si>
    <t>12L</t>
  </si>
  <si>
    <t>Shop</t>
  </si>
  <si>
    <t>Debind</t>
  </si>
  <si>
    <t>Nested parts / job</t>
  </si>
  <si>
    <t>MIM furnace part cost calculation</t>
  </si>
  <si>
    <t>Layers</t>
  </si>
  <si>
    <t>MIM furnaces required (rounded)</t>
  </si>
  <si>
    <t>MIM furnace utilization</t>
  </si>
  <si>
    <t>MIM furnace investment</t>
  </si>
  <si>
    <t>Printer available hours / year</t>
  </si>
  <si>
    <t>Printer &amp; furnace uptime</t>
  </si>
  <si>
    <t>Printer uptime hours / year</t>
  </si>
  <si>
    <t>Powder blender part cost calculation</t>
  </si>
  <si>
    <t>17-4PH SS</t>
  </si>
  <si>
    <t>Powder MSRP</t>
  </si>
  <si>
    <t>Powder blender investment</t>
  </si>
  <si>
    <t>DM equipment depreciation</t>
  </si>
  <si>
    <t>MIM furnace depreciation</t>
  </si>
  <si>
    <t>Nitrogen rate</t>
  </si>
  <si>
    <t>Argon rate</t>
  </si>
  <si>
    <t>Drying oven turnaround time</t>
  </si>
  <si>
    <t>Binder ratio</t>
  </si>
  <si>
    <t>DM furnace X-dim</t>
  </si>
  <si>
    <t>DM furnace Y-dim</t>
  </si>
  <si>
    <t>DM furnace Z-dim</t>
  </si>
  <si>
    <t>DM furnace consumables / run</t>
  </si>
  <si>
    <t>DM furnace equipment / run</t>
  </si>
  <si>
    <t>DM furnace consumables / kg</t>
  </si>
  <si>
    <t>MIM furnace index</t>
  </si>
  <si>
    <t>MIM furnace X-dim</t>
  </si>
  <si>
    <t>MIM furnace Y-dim</t>
  </si>
  <si>
    <t>MIM furnace Z-dim</t>
  </si>
  <si>
    <t>MIM furnace shelves</t>
  </si>
  <si>
    <t>MIM furnace cycle time</t>
  </si>
  <si>
    <t>Printer module</t>
  </si>
  <si>
    <t>Drying oven</t>
  </si>
  <si>
    <t>Depowder station</t>
  </si>
  <si>
    <t>Powder blender</t>
  </si>
  <si>
    <t>DM furnace</t>
  </si>
  <si>
    <t>DM vacuum</t>
  </si>
  <si>
    <t>Build box</t>
  </si>
  <si>
    <t>2 ft3 Debind furnace MSRP</t>
  </si>
  <si>
    <t>4 ft3 Debind furnace MSRP</t>
  </si>
  <si>
    <t>6 ft3 Debind furnace MSRP</t>
  </si>
  <si>
    <t>12 ft3 Debind furnace MSRP</t>
  </si>
  <si>
    <t>2 ft3 MIM furnace floorspace</t>
  </si>
  <si>
    <t>m</t>
  </si>
  <si>
    <t>4 ft3 MIM furnace floorspace</t>
  </si>
  <si>
    <t>6 ft3 MIM furnace floorspace</t>
  </si>
  <si>
    <t>12 ft3 MIM furnace floorspace</t>
  </si>
  <si>
    <t>Continuous MIM furnace floorspace</t>
  </si>
  <si>
    <t>316L SS</t>
  </si>
  <si>
    <t>CoCr F75</t>
  </si>
  <si>
    <t>PRODUCTION SYSTEM</t>
  </si>
  <si>
    <t>Production System part cost outputs</t>
  </si>
  <si>
    <t>Debind furnace part cost calculation</t>
  </si>
  <si>
    <t>Debind furnace selection</t>
  </si>
  <si>
    <t>Operating part costs</t>
  </si>
  <si>
    <t>Debind furnaces required (rounded)</t>
  </si>
  <si>
    <t>Configuration</t>
  </si>
  <si>
    <t>Flex</t>
  </si>
  <si>
    <t>Debind furnace utilization</t>
  </si>
  <si>
    <t>P-1</t>
  </si>
  <si>
    <t>Debind furnace investment</t>
  </si>
  <si>
    <t>Annual depreciation (@ 7 yrs)</t>
  </si>
  <si>
    <t>Fully burdened part costs</t>
  </si>
  <si>
    <t>MIM furnace selection</t>
  </si>
  <si>
    <t>Crosslink part cost calculation</t>
  </si>
  <si>
    <t>Crosslink utilization</t>
  </si>
  <si>
    <t>Crosslink investment</t>
  </si>
  <si>
    <t>Crosslink</t>
  </si>
  <si>
    <t>Region</t>
  </si>
  <si>
    <t>Labor &amp; equipment inputs</t>
  </si>
  <si>
    <t>5 ovens for 24/7 on Flex</t>
  </si>
  <si>
    <t>3 people for depowder + ppu + printer - 24/7</t>
  </si>
  <si>
    <t>Crosslink module</t>
  </si>
  <si>
    <t>Transfer cart</t>
  </si>
  <si>
    <t>P-50</t>
  </si>
  <si>
    <t>Run time + 30min turnaround</t>
  </si>
  <si>
    <t>PPU part cost calculation</t>
  </si>
  <si>
    <t>PPU required (rounded)</t>
  </si>
  <si>
    <t>Run time + 30 min turnaround</t>
  </si>
  <si>
    <t>PPU investment</t>
  </si>
  <si>
    <t>PPU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</si>
</sst>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9">
    <numFmt numFmtId="164" formatCode="0.0%"/>
    <numFmt numFmtId="165" formatCode="_(* #,##0.00_);_(* \(#,##0.00\);_(* &quot;-&quot;??_);_(@_)"/>
    <numFmt numFmtId="166" formatCode="#,##0_);\(#,##0\);\-_)"/>
    <numFmt numFmtId="167" formatCode="#,##0.0_);\(#,##0.0\)"/>
    <numFmt numFmtId="168" formatCode="0.0%;;\-"/>
    <numFmt numFmtId="169" formatCode="#,##0.0_);\(#,##0.0\);\-_)"/>
    <numFmt numFmtId="170" formatCode="_(* #,##0_);_(* \(#,##0\);_(* &quot;-&quot;??_);_(@_)"/>
    <numFmt numFmtId="171" formatCode="#,##0.00_);\(#,##0.00\);\-_)"/>
    <numFmt numFmtId="172" formatCode="_(&quot;$&quot;* #,##0_);_(&quot;$&quot;* \(#,##0\);_(&quot;$&quot;* &quot;-&quot;??_);_(@_)"/>
    <numFmt numFmtId="173" formatCode="_(&quot;$&quot;* #,##0.00_);_(&quot;$&quot;* \(#,##0.00\);_(&quot;$&quot;* &quot;-&quot;??_);_(@_)"/>
    <numFmt numFmtId="174" formatCode="_(* ###0_);_(* \(###0\);_(* &quot;-&quot;??_);_(@_)"/>
    <numFmt numFmtId="175" formatCode="0&quot; ft3&quot;"/>
    <numFmt numFmtId="176" formatCode="_(* #,##0.0_);_(* \(#,##0.0\);_(* &quot;-&quot;??_);_(@_)"/>
    <numFmt numFmtId="177" formatCode="_(&quot;$&quot;* #,##0_);_(&quot;$&quot;* \(#,##0\);_(&quot;$&quot;* &quot;-&quot;_);_(@_)"/>
    <numFmt numFmtId="178" formatCode="#,##0%_);\(#,##0%\)"/>
    <numFmt numFmtId="179" formatCode="General;;"/>
    <numFmt numFmtId="180" formatCode="#,##0_);\(#,##0\);_(&quot;$&quot;* &quot;-&quot;??_);_(@_)"/>
    <numFmt numFmtId="181" formatCode="_(* #,##0.000_);_(* \(#,##0.000\);_(* &quot;-&quot;??_);_(@_)"/>
    <numFmt numFmtId="182" formatCode="#,##0.000_);\(#,##0.000\);\-_)"/>
    <numFmt numFmtId="183" formatCode="#,##0.0_);\(#,##0.0\);_(&quot;$&quot;* &quot;-&quot;??_);_(@_)"/>
    <numFmt numFmtId="184" formatCode="#,##0.0%_);\(#,##0.0%\)"/>
    <numFmt numFmtId="185" formatCode="_(* #,##0.0_);_(* \(#,##0.0\);_(* &quot;-&quot;?_);_(@_)"/>
    <numFmt numFmtId="186" formatCode="#,##0.000_);\(#,##0.000\)"/>
    <numFmt numFmtId="187" formatCode="0.0000"/>
    <numFmt numFmtId="188" formatCode="_(&quot;$&quot;* #,##0.0000_);_(&quot;$&quot;* \(#,##0.0000\);_(&quot;$&quot;* &quot;-&quot;??_);_(@_)"/>
    <numFmt numFmtId="189" formatCode="0.00000000"/>
    <numFmt numFmtId="190" formatCode="0.000"/>
    <numFmt numFmtId="191" formatCode="#,##0.0_);\(#,##0.0\);;_(@_)"/>
    <numFmt numFmtId="192" formatCode="0&quot; ft3 MIM furnace&quot;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sz val="11.0"/>
      <color rgb="FF0000FF"/>
      <name val="Calibri"/>
    </font>
    <font>
      <sz val="14.0"/>
      <color theme="1"/>
      <name val="Calibri"/>
    </font>
    <font>
      <b/>
      <sz val="14.0"/>
      <color theme="1"/>
      <name val="Calibri"/>
    </font>
    <font/>
    <font>
      <b/>
      <i/>
      <sz val="14.0"/>
      <color theme="1"/>
      <name val="Calibri"/>
    </font>
    <font>
      <sz val="11.0"/>
      <color rgb="FF0A09FF"/>
      <name val="Calibri"/>
    </font>
    <font>
      <b/>
      <sz val="9.0"/>
      <color theme="1"/>
      <name val="Calibri"/>
    </font>
    <font>
      <i/>
      <sz val="9.0"/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sz val="11.0"/>
      <color rgb="FF008000"/>
      <name val="Calibri"/>
    </font>
    <font>
      <b/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9999"/>
        <bgColor rgb="FFFF9999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rgb="FFFF0000"/>
      </patternFill>
    </fill>
  </fills>
  <borders count="48">
    <border/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theme="1"/>
      </left>
      <top style="thin">
        <color theme="1"/>
      </top>
    </border>
    <border>
      <top style="thin">
        <color theme="1"/>
      </top>
    </border>
    <border>
      <left style="thin">
        <color rgb="FF000000"/>
      </left>
      <right style="thin">
        <color theme="1"/>
      </right>
      <top style="thin">
        <color theme="1"/>
      </top>
    </border>
    <border>
      <left style="thin">
        <color theme="1"/>
      </left>
    </border>
    <border>
      <left style="thin">
        <color rgb="FF000000"/>
      </left>
      <right style="thin">
        <color theme="1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1"/>
      </left>
      <top style="thin">
        <color rgb="FF000000"/>
      </top>
    </border>
    <border>
      <right style="thin">
        <color theme="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theme="1"/>
      </right>
    </border>
    <border>
      <right style="thin">
        <color theme="1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theme="1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theme="1"/>
      </right>
    </border>
    <border>
      <left style="thin">
        <color theme="1"/>
      </left>
      <bottom style="thin">
        <color rgb="FF000000"/>
      </bottom>
    </border>
    <border>
      <right style="thin">
        <color theme="1"/>
      </right>
      <top style="thin">
        <color theme="1"/>
      </top>
    </border>
    <border>
      <left style="thin">
        <color theme="1"/>
      </left>
      <bottom style="thin">
        <color theme="1"/>
      </bottom>
    </border>
    <border>
      <bottom style="thin">
        <color theme="1"/>
      </bottom>
    </border>
    <border>
      <right style="thin">
        <color theme="1"/>
      </right>
      <bottom style="thin">
        <color theme="1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14" xfId="0" applyAlignment="1" applyFont="1" applyNumberFormat="1">
      <alignment horizontal="center" vertical="center"/>
    </xf>
    <xf quotePrefix="1"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quotePrefix="1" borderId="0" fillId="0" fontId="1" numFmtId="0" xfId="0" applyAlignment="1" applyFont="1">
      <alignment horizontal="left" vertical="center"/>
    </xf>
    <xf quotePrefix="1"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1" fillId="2" fontId="3" numFmtId="0" xfId="0" applyBorder="1" applyFill="1" applyFont="1"/>
    <xf borderId="1" fillId="2" fontId="3" numFmtId="0" xfId="0" applyAlignment="1" applyBorder="1" applyFont="1">
      <alignment horizontal="right"/>
    </xf>
    <xf borderId="0" fillId="0" fontId="4" numFmtId="164" xfId="0" applyFont="1" applyNumberFormat="1"/>
    <xf borderId="2" fillId="3" fontId="4" numFmtId="164" xfId="0" applyBorder="1" applyFill="1" applyFont="1" applyNumberFormat="1"/>
    <xf borderId="0" fillId="0" fontId="4" numFmtId="165" xfId="0" applyFont="1" applyNumberFormat="1"/>
    <xf borderId="2" fillId="3" fontId="4" numFmtId="165" xfId="0" applyBorder="1" applyFont="1" applyNumberFormat="1"/>
    <xf borderId="0" fillId="0" fontId="4" numFmtId="166" xfId="0" applyFont="1" applyNumberFormat="1"/>
    <xf borderId="2" fillId="3" fontId="4" numFmtId="166" xfId="0" applyBorder="1" applyFont="1" applyNumberFormat="1"/>
    <xf borderId="0" fillId="0" fontId="4" numFmtId="9" xfId="0" applyFont="1" applyNumberFormat="1"/>
    <xf borderId="2" fillId="3" fontId="4" numFmtId="9" xfId="0" applyBorder="1" applyFont="1" applyNumberFormat="1"/>
    <xf borderId="0" fillId="0" fontId="4" numFmtId="167" xfId="0" applyFont="1" applyNumberFormat="1"/>
    <xf borderId="2" fillId="3" fontId="4" numFmtId="167" xfId="0" applyBorder="1" applyFont="1" applyNumberFormat="1"/>
    <xf borderId="2" fillId="3" fontId="4" numFmtId="168" xfId="0" applyBorder="1" applyFont="1" applyNumberFormat="1"/>
    <xf borderId="0" fillId="0" fontId="4" numFmtId="168" xfId="0" applyFont="1" applyNumberFormat="1"/>
    <xf borderId="2" fillId="4" fontId="4" numFmtId="168" xfId="0" applyBorder="1" applyFill="1" applyFont="1" applyNumberFormat="1"/>
    <xf borderId="0" fillId="0" fontId="4" numFmtId="37" xfId="0" applyFont="1" applyNumberFormat="1"/>
    <xf borderId="2" fillId="3" fontId="4" numFmtId="37" xfId="0" applyBorder="1" applyFont="1" applyNumberFormat="1"/>
    <xf borderId="2" fillId="4" fontId="4" numFmtId="37" xfId="0" applyBorder="1" applyFont="1" applyNumberFormat="1"/>
    <xf borderId="2" fillId="4" fontId="4" numFmtId="167" xfId="0" applyBorder="1" applyFont="1" applyNumberFormat="1"/>
    <xf borderId="0" fillId="0" fontId="4" numFmtId="167" xfId="0" applyAlignment="1" applyFont="1" applyNumberFormat="1">
      <alignment horizontal="right"/>
    </xf>
    <xf borderId="2" fillId="3" fontId="4" numFmtId="167" xfId="0" applyAlignment="1" applyBorder="1" applyFont="1" applyNumberFormat="1">
      <alignment horizontal="right"/>
    </xf>
    <xf borderId="0" fillId="0" fontId="4" numFmtId="169" xfId="0" applyFont="1" applyNumberFormat="1"/>
    <xf borderId="0" fillId="0" fontId="4" numFmtId="170" xfId="0" applyFont="1" applyNumberFormat="1"/>
    <xf borderId="0" fillId="0" fontId="4" numFmtId="171" xfId="0" applyFont="1" applyNumberFormat="1"/>
    <xf borderId="2" fillId="3" fontId="4" numFmtId="171" xfId="0" applyBorder="1" applyFont="1" applyNumberFormat="1"/>
    <xf borderId="0" fillId="0" fontId="4" numFmtId="39" xfId="0" applyFont="1" applyNumberFormat="1"/>
    <xf borderId="2" fillId="3" fontId="4" numFmtId="39" xfId="0" applyBorder="1" applyFont="1" applyNumberFormat="1"/>
    <xf borderId="2" fillId="4" fontId="4" numFmtId="172" xfId="0" applyBorder="1" applyFont="1" applyNumberFormat="1"/>
    <xf borderId="2" fillId="3" fontId="4" numFmtId="172" xfId="0" applyBorder="1" applyFont="1" applyNumberFormat="1"/>
    <xf borderId="0" fillId="0" fontId="4" numFmtId="172" xfId="0" applyFont="1" applyNumberFormat="1"/>
    <xf borderId="0" fillId="0" fontId="4" numFmtId="173" xfId="0" applyFont="1" applyNumberFormat="1"/>
    <xf borderId="3" fillId="0" fontId="1" numFmtId="0" xfId="0" applyAlignment="1" applyBorder="1" applyFont="1">
      <alignment horizontal="left"/>
    </xf>
    <xf borderId="2" fillId="4" fontId="4" numFmtId="173" xfId="0" applyBorder="1" applyFont="1" applyNumberFormat="1"/>
    <xf borderId="2" fillId="3" fontId="4" numFmtId="173" xfId="0" applyBorder="1" applyFont="1" applyNumberFormat="1"/>
    <xf borderId="0" fillId="0" fontId="4" numFmtId="173" xfId="0" applyAlignment="1" applyFont="1" applyNumberFormat="1">
      <alignment readingOrder="0"/>
    </xf>
    <xf borderId="0" fillId="0" fontId="4" numFmtId="173" xfId="0" applyAlignment="1" applyFont="1" applyNumberFormat="1">
      <alignment horizontal="right"/>
    </xf>
    <xf borderId="0" fillId="0" fontId="4" numFmtId="174" xfId="0" applyAlignment="1" applyFont="1" applyNumberFormat="1">
      <alignment horizontal="right"/>
    </xf>
    <xf borderId="0" fillId="0" fontId="3" numFmtId="173" xfId="0" applyAlignment="1" applyFont="1" applyNumberFormat="1">
      <alignment horizontal="right"/>
    </xf>
    <xf borderId="0" fillId="0" fontId="3" numFmtId="175" xfId="0" applyAlignment="1" applyFont="1" applyNumberFormat="1">
      <alignment horizontal="right"/>
    </xf>
    <xf borderId="1" fillId="2" fontId="3" numFmtId="165" xfId="0" applyAlignment="1" applyBorder="1" applyFont="1" applyNumberFormat="1">
      <alignment horizontal="right"/>
    </xf>
    <xf borderId="4" fillId="0" fontId="1" numFmtId="0" xfId="0" applyAlignment="1" applyBorder="1" applyFont="1">
      <alignment horizontal="left"/>
    </xf>
    <xf borderId="4" fillId="0" fontId="2" numFmtId="0" xfId="0" applyBorder="1" applyFont="1"/>
    <xf borderId="5" fillId="0" fontId="1" numFmtId="0" xfId="0" applyAlignment="1" applyBorder="1" applyFont="1">
      <alignment horizontal="left"/>
    </xf>
    <xf borderId="5" fillId="0" fontId="2" numFmtId="0" xfId="0" applyBorder="1" applyFont="1"/>
    <xf borderId="6" fillId="0" fontId="1" numFmtId="0" xfId="0" applyBorder="1" applyFont="1"/>
    <xf borderId="6" fillId="0" fontId="2" numFmtId="0" xfId="0" applyBorder="1" applyFont="1"/>
    <xf borderId="0" fillId="0" fontId="4" numFmtId="176" xfId="0" applyFont="1" applyNumberFormat="1"/>
    <xf borderId="7" fillId="0" fontId="1" numFmtId="0" xfId="0" applyBorder="1" applyFont="1"/>
    <xf borderId="7" fillId="0" fontId="2" numFmtId="0" xfId="0" applyBorder="1" applyFont="1"/>
    <xf borderId="4" fillId="0" fontId="1" numFmtId="0" xfId="0" applyBorder="1" applyFont="1"/>
    <xf borderId="0" fillId="0" fontId="5" numFmtId="0" xfId="0" applyAlignment="1" applyFont="1">
      <alignment vertical="center"/>
    </xf>
    <xf borderId="8" fillId="3" fontId="6" numFmtId="0" xfId="0" applyAlignment="1" applyBorder="1" applyFont="1">
      <alignment vertical="center"/>
    </xf>
    <xf borderId="1" fillId="3" fontId="6" numFmtId="0" xfId="0" applyAlignment="1" applyBorder="1" applyFont="1">
      <alignment vertical="center"/>
    </xf>
    <xf borderId="9" fillId="3" fontId="6" numFmtId="0" xfId="0" applyAlignment="1" applyBorder="1" applyFont="1">
      <alignment horizontal="center" vertical="center"/>
    </xf>
    <xf borderId="10" fillId="0" fontId="7" numFmtId="0" xfId="0" applyBorder="1" applyFont="1"/>
    <xf borderId="11" fillId="3" fontId="8" numFmtId="0" xfId="0" applyAlignment="1" applyBorder="1" applyFont="1">
      <alignment horizontal="right" vertical="center"/>
    </xf>
    <xf borderId="11" fillId="3" fontId="6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3" fontId="6" numFmtId="0" xfId="0" applyAlignment="1" applyBorder="1" applyFont="1">
      <alignment vertical="center"/>
    </xf>
    <xf borderId="14" fillId="3" fontId="6" numFmtId="0" xfId="0" applyAlignment="1" applyBorder="1" applyFont="1">
      <alignment vertical="center"/>
    </xf>
    <xf borderId="15" fillId="3" fontId="6" numFmtId="0" xfId="0" applyAlignment="1" applyBorder="1" applyFont="1">
      <alignment vertical="center"/>
    </xf>
    <xf borderId="0" fillId="0" fontId="1" numFmtId="165" xfId="0" applyFont="1" applyNumberFormat="1"/>
    <xf borderId="16" fillId="0" fontId="1" numFmtId="0" xfId="0" applyBorder="1" applyFont="1"/>
    <xf borderId="0" fillId="0" fontId="1" numFmtId="177" xfId="0" applyFont="1" applyNumberFormat="1"/>
    <xf borderId="3" fillId="0" fontId="1" numFmtId="0" xfId="0" applyBorder="1" applyFont="1"/>
    <xf borderId="5" fillId="0" fontId="1" numFmtId="37" xfId="0" applyBorder="1" applyFont="1" applyNumberForma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77" xfId="0" applyBorder="1" applyFont="1" applyNumberFormat="1"/>
    <xf borderId="20" fillId="0" fontId="1" numFmtId="37" xfId="0" applyBorder="1" applyFont="1" applyNumberFormat="1"/>
    <xf borderId="8" fillId="5" fontId="3" numFmtId="0" xfId="0" applyBorder="1" applyFill="1" applyFont="1"/>
    <xf borderId="11" fillId="5" fontId="3" numFmtId="0" xfId="0" applyBorder="1" applyFont="1"/>
    <xf borderId="7" fillId="0" fontId="1" numFmtId="178" xfId="0" applyBorder="1" applyFont="1" applyNumberFormat="1"/>
    <xf borderId="21" fillId="0" fontId="1" numFmtId="0" xfId="0" applyBorder="1" applyFont="1"/>
    <xf borderId="22" fillId="0" fontId="1" numFmtId="178" xfId="0" applyBorder="1" applyFont="1" applyNumberFormat="1"/>
    <xf borderId="23" fillId="0" fontId="1" numFmtId="0" xfId="0" applyBorder="1" applyFont="1"/>
    <xf borderId="4" fillId="6" fontId="4" numFmtId="165" xfId="0" applyBorder="1" applyFill="1" applyFont="1" applyNumberFormat="1"/>
    <xf borderId="12" fillId="0" fontId="1" numFmtId="170" xfId="0" applyBorder="1" applyFont="1" applyNumberFormat="1"/>
    <xf borderId="12" fillId="0" fontId="1" numFmtId="170" xfId="0" applyAlignment="1" applyBorder="1" applyFont="1" applyNumberFormat="1">
      <alignment horizontal="right"/>
    </xf>
    <xf borderId="0" fillId="0" fontId="1" numFmtId="179" xfId="0" applyAlignment="1" applyFont="1" applyNumberFormat="1">
      <alignment horizontal="left"/>
    </xf>
    <xf borderId="23" fillId="0" fontId="3" numFmtId="0" xfId="0" applyBorder="1" applyFont="1"/>
    <xf borderId="4" fillId="0" fontId="3" numFmtId="177" xfId="0" applyBorder="1" applyFont="1" applyNumberFormat="1"/>
    <xf borderId="24" fillId="0" fontId="1" numFmtId="0" xfId="0" applyBorder="1" applyFont="1"/>
    <xf borderId="25" fillId="0" fontId="3" numFmtId="0" xfId="0" applyBorder="1" applyFont="1"/>
    <xf borderId="26" fillId="0" fontId="1" numFmtId="0" xfId="0" applyBorder="1" applyFont="1"/>
    <xf borderId="17" fillId="0" fontId="1" numFmtId="165" xfId="0" applyBorder="1" applyFont="1" applyNumberFormat="1"/>
    <xf borderId="17" fillId="0" fontId="1" numFmtId="180" xfId="0" applyAlignment="1" applyBorder="1" applyFont="1" applyNumberFormat="1">
      <alignment horizontal="right"/>
    </xf>
    <xf borderId="16" fillId="0" fontId="2" numFmtId="0" xfId="0" applyAlignment="1" applyBorder="1" applyFont="1">
      <alignment horizontal="left"/>
    </xf>
    <xf borderId="3" fillId="0" fontId="2" numFmtId="170" xfId="0" applyBorder="1" applyFont="1" applyNumberFormat="1"/>
    <xf borderId="27" fillId="0" fontId="1" numFmtId="37" xfId="0" applyBorder="1" applyFont="1" applyNumberFormat="1"/>
    <xf borderId="21" fillId="0" fontId="2" numFmtId="0" xfId="0" applyAlignment="1" applyBorder="1" applyFont="1">
      <alignment horizontal="left"/>
    </xf>
    <xf borderId="28" fillId="0" fontId="1" numFmtId="37" xfId="0" applyBorder="1" applyFont="1" applyNumberFormat="1"/>
    <xf borderId="17" fillId="0" fontId="1" numFmtId="176" xfId="0" applyBorder="1" applyFont="1" applyNumberFormat="1"/>
    <xf borderId="0" fillId="0" fontId="2" numFmtId="170" xfId="0" applyFont="1" applyNumberFormat="1"/>
    <xf borderId="17" fillId="0" fontId="1" numFmtId="170" xfId="0" applyBorder="1" applyFont="1" applyNumberFormat="1"/>
    <xf borderId="4" fillId="6" fontId="4" numFmtId="165" xfId="0" applyAlignment="1" applyBorder="1" applyFont="1" applyNumberFormat="1">
      <alignment horizontal="right"/>
    </xf>
    <xf borderId="17" fillId="0" fontId="1" numFmtId="181" xfId="0" applyBorder="1" applyFont="1" applyNumberFormat="1"/>
    <xf borderId="17" fillId="0" fontId="1" numFmtId="170" xfId="0" applyAlignment="1" applyBorder="1" applyFont="1" applyNumberFormat="1">
      <alignment horizontal="right"/>
    </xf>
    <xf borderId="16" fillId="0" fontId="3" numFmtId="0" xfId="0" applyBorder="1" applyFont="1"/>
    <xf borderId="12" fillId="0" fontId="1" numFmtId="0" xfId="0" applyBorder="1" applyFont="1"/>
    <xf borderId="29" fillId="0" fontId="1" numFmtId="0" xfId="0" applyBorder="1" applyFont="1"/>
    <xf borderId="30" fillId="0" fontId="1" numFmtId="165" xfId="0" applyBorder="1" applyFont="1" applyNumberFormat="1"/>
    <xf borderId="17" fillId="0" fontId="1" numFmtId="182" xfId="0" applyBorder="1" applyFont="1" applyNumberFormat="1"/>
    <xf borderId="17" fillId="0" fontId="1" numFmtId="37" xfId="0" applyBorder="1" applyFont="1" applyNumberFormat="1"/>
    <xf borderId="5" fillId="0" fontId="1" numFmtId="173" xfId="0" applyBorder="1" applyFont="1" applyNumberFormat="1"/>
    <xf borderId="0" fillId="0" fontId="1" numFmtId="37" xfId="0" applyFont="1" applyNumberFormat="1"/>
    <xf borderId="31" fillId="0" fontId="1" numFmtId="37" xfId="0" applyBorder="1" applyFont="1" applyNumberFormat="1"/>
    <xf borderId="32" fillId="0" fontId="1" numFmtId="0" xfId="0" applyBorder="1" applyFont="1"/>
    <xf borderId="0" fillId="0" fontId="1" numFmtId="173" xfId="0" applyFont="1" applyNumberFormat="1"/>
    <xf borderId="17" fillId="0" fontId="1" numFmtId="167" xfId="0" applyAlignment="1" applyBorder="1" applyFont="1" applyNumberFormat="1">
      <alignment horizontal="right"/>
    </xf>
    <xf borderId="27" fillId="0" fontId="1" numFmtId="173" xfId="0" applyBorder="1" applyFont="1" applyNumberFormat="1"/>
    <xf borderId="21" fillId="0" fontId="3" numFmtId="0" xfId="0" applyBorder="1" applyFont="1"/>
    <xf borderId="13" fillId="5" fontId="3" numFmtId="0" xfId="0" applyBorder="1" applyFont="1"/>
    <xf borderId="15" fillId="5" fontId="3" numFmtId="0" xfId="0" applyBorder="1" applyFont="1"/>
    <xf borderId="17" fillId="0" fontId="1" numFmtId="183" xfId="0" applyAlignment="1" applyBorder="1" applyFont="1" applyNumberFormat="1">
      <alignment horizontal="right"/>
    </xf>
    <xf borderId="12" fillId="0" fontId="2" numFmtId="0" xfId="0" applyBorder="1" applyFont="1"/>
    <xf borderId="7" fillId="0" fontId="1" numFmtId="37" xfId="0" applyBorder="1" applyFont="1" applyNumberFormat="1"/>
    <xf borderId="25" fillId="0" fontId="1" numFmtId="0" xfId="0" applyBorder="1" applyFont="1"/>
    <xf borderId="22" fillId="0" fontId="1" numFmtId="37" xfId="0" applyBorder="1" applyFont="1" applyNumberFormat="1"/>
    <xf borderId="33" fillId="6" fontId="9" numFmtId="170" xfId="0" applyAlignment="1" applyBorder="1" applyFont="1" applyNumberFormat="1">
      <alignment horizontal="right" readingOrder="0"/>
    </xf>
    <xf borderId="34" fillId="0" fontId="1" numFmtId="0" xfId="0" applyBorder="1" applyFont="1"/>
    <xf borderId="35" fillId="0" fontId="2" numFmtId="0" xfId="0" applyBorder="1" applyFont="1"/>
    <xf borderId="36" fillId="7" fontId="1" numFmtId="173" xfId="0" applyBorder="1" applyFill="1" applyFont="1" applyNumberFormat="1"/>
    <xf borderId="37" fillId="0" fontId="1" numFmtId="37" xfId="0" applyBorder="1" applyFont="1" applyNumberFormat="1"/>
    <xf borderId="4" fillId="6" fontId="9" numFmtId="0" xfId="0" applyAlignment="1" applyBorder="1" applyFont="1">
      <alignment horizontal="right" vertical="center"/>
    </xf>
    <xf borderId="5" fillId="0" fontId="1" numFmtId="178" xfId="0" applyBorder="1" applyFont="1" applyNumberFormat="1"/>
    <xf borderId="31" fillId="0" fontId="1" numFmtId="178" xfId="0" applyBorder="1" applyFont="1" applyNumberFormat="1"/>
    <xf borderId="36" fillId="6" fontId="4" numFmtId="170" xfId="0" applyAlignment="1" applyBorder="1" applyFont="1" applyNumberFormat="1">
      <alignment horizontal="right"/>
    </xf>
    <xf borderId="17" fillId="0" fontId="1" numFmtId="178" xfId="0" applyBorder="1" applyFont="1" applyNumberFormat="1"/>
    <xf borderId="27" fillId="0" fontId="1" numFmtId="178" xfId="0" applyBorder="1" applyFont="1" applyNumberFormat="1"/>
    <xf borderId="38" fillId="0" fontId="1" numFmtId="0" xfId="0" applyBorder="1" applyFont="1"/>
    <xf borderId="28" fillId="0" fontId="1" numFmtId="178" xfId="0" applyBorder="1" applyFont="1" applyNumberFormat="1"/>
    <xf borderId="4" fillId="6" fontId="4" numFmtId="170" xfId="0" applyAlignment="1" applyBorder="1" applyFont="1" applyNumberFormat="1">
      <alignment horizontal="right"/>
    </xf>
    <xf borderId="24" fillId="0" fontId="1" numFmtId="170" xfId="0" applyAlignment="1" applyBorder="1" applyFont="1" applyNumberFormat="1">
      <alignment horizontal="right"/>
    </xf>
    <xf borderId="17" fillId="0" fontId="1" numFmtId="184" xfId="0" applyBorder="1" applyFont="1" applyNumberFormat="1"/>
    <xf borderId="17" fillId="0" fontId="1" numFmtId="172" xfId="0" applyAlignment="1" applyBorder="1" applyFont="1" applyNumberFormat="1">
      <alignment horizontal="right"/>
    </xf>
    <xf borderId="32" fillId="0" fontId="1" numFmtId="170" xfId="0" applyBorder="1" applyFont="1" applyNumberFormat="1"/>
    <xf borderId="3" fillId="0" fontId="2" numFmtId="0" xfId="0" applyBorder="1" applyFont="1"/>
    <xf borderId="37" fillId="0" fontId="1" numFmtId="0" xfId="0" applyBorder="1" applyFont="1"/>
    <xf borderId="17" fillId="0" fontId="1" numFmtId="173" xfId="0" applyAlignment="1" applyBorder="1" applyFont="1" applyNumberFormat="1">
      <alignment horizontal="right"/>
    </xf>
    <xf borderId="16" fillId="0" fontId="1" numFmtId="0" xfId="0" applyAlignment="1" applyBorder="1" applyFont="1">
      <alignment horizontal="left"/>
    </xf>
    <xf borderId="21" fillId="0" fontId="1" numFmtId="0" xfId="0" applyAlignment="1" applyBorder="1" applyFont="1">
      <alignment horizontal="left"/>
    </xf>
    <xf borderId="17" fillId="0" fontId="1" numFmtId="172" xfId="0" applyBorder="1" applyFont="1" applyNumberFormat="1"/>
    <xf borderId="17" fillId="0" fontId="1" numFmtId="173" xfId="0" applyBorder="1" applyFont="1" applyNumberFormat="1"/>
    <xf borderId="23" fillId="0" fontId="10" numFmtId="0" xfId="0" applyBorder="1" applyFont="1"/>
    <xf borderId="18" fillId="0" fontId="10" numFmtId="0" xfId="0" applyBorder="1" applyFont="1"/>
    <xf borderId="39" fillId="0" fontId="1" numFmtId="0" xfId="0" applyBorder="1" applyFont="1"/>
    <xf borderId="0" fillId="0" fontId="1" numFmtId="185" xfId="0" applyFont="1" applyNumberFormat="1"/>
    <xf borderId="16" fillId="0" fontId="11" numFmtId="0" xfId="0" applyAlignment="1" applyBorder="1" applyFont="1">
      <alignment horizontal="left"/>
    </xf>
    <xf borderId="0" fillId="0" fontId="11" numFmtId="0" xfId="0" applyFont="1"/>
    <xf borderId="21" fillId="0" fontId="11" numFmtId="0" xfId="0" applyAlignment="1" applyBorder="1" applyFont="1">
      <alignment horizontal="left"/>
    </xf>
    <xf borderId="4" fillId="6" fontId="4" numFmtId="37" xfId="0" applyAlignment="1" applyBorder="1" applyFont="1" applyNumberFormat="1">
      <alignment horizontal="right"/>
    </xf>
    <xf borderId="30" fillId="0" fontId="1" numFmtId="173" xfId="0" applyBorder="1" applyFont="1" applyNumberFormat="1"/>
    <xf borderId="4" fillId="6" fontId="4" numFmtId="37" xfId="0" applyBorder="1" applyFont="1" applyNumberFormat="1"/>
    <xf borderId="4" fillId="6" fontId="4" numFmtId="39" xfId="0" applyBorder="1" applyFont="1" applyNumberFormat="1"/>
    <xf borderId="0" fillId="0" fontId="12" numFmtId="0" xfId="0" applyFont="1"/>
    <xf borderId="17" fillId="0" fontId="1" numFmtId="37" xfId="0" applyAlignment="1" applyBorder="1" applyFont="1" applyNumberFormat="1">
      <alignment horizontal="right"/>
    </xf>
    <xf borderId="4" fillId="8" fontId="4" numFmtId="186" xfId="0" applyBorder="1" applyFill="1" applyFont="1" applyNumberFormat="1"/>
    <xf borderId="21" fillId="0" fontId="12" numFmtId="0" xfId="0" applyBorder="1" applyFont="1"/>
    <xf borderId="17" fillId="0" fontId="2" numFmtId="181" xfId="0" applyBorder="1" applyFont="1" applyNumberFormat="1"/>
    <xf borderId="16" fillId="0" fontId="12" numFmtId="0" xfId="0" applyBorder="1" applyFont="1"/>
    <xf borderId="40" fillId="0" fontId="12" numFmtId="0" xfId="0" applyBorder="1" applyFont="1"/>
    <xf borderId="41" fillId="0" fontId="11" numFmtId="0" xfId="0" applyBorder="1" applyFont="1"/>
    <xf borderId="41" fillId="0" fontId="1" numFmtId="0" xfId="0" applyBorder="1" applyFont="1"/>
    <xf borderId="41" fillId="0" fontId="12" numFmtId="0" xfId="0" applyBorder="1" applyFont="1"/>
    <xf borderId="42" fillId="0" fontId="1" numFmtId="0" xfId="0" applyBorder="1" applyFont="1"/>
    <xf borderId="34" fillId="0" fontId="12" numFmtId="0" xfId="0" applyBorder="1" applyFont="1"/>
    <xf borderId="35" fillId="0" fontId="11" numFmtId="0" xfId="0" applyBorder="1" applyFont="1"/>
    <xf borderId="35" fillId="0" fontId="1" numFmtId="0" xfId="0" applyBorder="1" applyFont="1"/>
    <xf borderId="35" fillId="0" fontId="12" numFmtId="0" xfId="0" applyBorder="1" applyFont="1"/>
    <xf borderId="35" fillId="0" fontId="13" numFmtId="37" xfId="0" applyBorder="1" applyFont="1" applyNumberFormat="1"/>
    <xf borderId="35" fillId="0" fontId="1" numFmtId="37" xfId="0" applyBorder="1" applyFont="1" applyNumberFormat="1"/>
    <xf borderId="30" fillId="0" fontId="1" numFmtId="0" xfId="0" applyBorder="1" applyFont="1"/>
    <xf borderId="0" fillId="0" fontId="13" numFmtId="37" xfId="0" applyFont="1" applyNumberFormat="1"/>
    <xf borderId="4" fillId="6" fontId="4" numFmtId="9" xfId="0" applyBorder="1" applyFont="1" applyNumberFormat="1"/>
    <xf borderId="12" fillId="0" fontId="14" numFmtId="170" xfId="0" applyBorder="1" applyFont="1" applyNumberFormat="1"/>
    <xf borderId="30" fillId="0" fontId="1" numFmtId="170" xfId="0" applyBorder="1" applyFont="1" applyNumberFormat="1"/>
    <xf borderId="17" fillId="0" fontId="1" numFmtId="167" xfId="0" applyBorder="1" applyFont="1" applyNumberFormat="1"/>
    <xf borderId="0" fillId="0" fontId="3" numFmtId="0" xfId="0" applyFont="1"/>
    <xf borderId="13" fillId="4" fontId="1" numFmtId="0" xfId="0" applyBorder="1" applyFont="1"/>
    <xf borderId="14" fillId="4" fontId="1" numFmtId="0" xfId="0" applyBorder="1" applyFont="1"/>
    <xf borderId="15" fillId="4" fontId="1" numFmtId="170" xfId="0" applyAlignment="1" applyBorder="1" applyFont="1" applyNumberFormat="1">
      <alignment horizontal="right"/>
    </xf>
    <xf borderId="43" fillId="4" fontId="1" numFmtId="0" xfId="0" applyBorder="1" applyFont="1"/>
    <xf borderId="2" fillId="4" fontId="1" numFmtId="0" xfId="0" applyBorder="1" applyFont="1"/>
    <xf borderId="44" fillId="4" fontId="1" numFmtId="184" xfId="0" applyAlignment="1" applyBorder="1" applyFont="1" applyNumberFormat="1">
      <alignment horizontal="right"/>
    </xf>
    <xf borderId="4" fillId="6" fontId="4" numFmtId="170" xfId="0" applyBorder="1" applyFont="1" applyNumberFormat="1"/>
    <xf borderId="44" fillId="4" fontId="1" numFmtId="170" xfId="0" applyAlignment="1" applyBorder="1" applyFont="1" applyNumberFormat="1">
      <alignment horizontal="right"/>
    </xf>
    <xf borderId="44" fillId="4" fontId="1" numFmtId="176" xfId="0" applyAlignment="1" applyBorder="1" applyFont="1" applyNumberFormat="1">
      <alignment horizontal="right"/>
    </xf>
    <xf borderId="19" fillId="0" fontId="1" numFmtId="173" xfId="0" applyBorder="1" applyFont="1" applyNumberFormat="1"/>
    <xf borderId="3" fillId="0" fontId="1" numFmtId="173" xfId="0" applyBorder="1" applyFont="1" applyNumberFormat="1"/>
    <xf borderId="35" fillId="0" fontId="1" numFmtId="173" xfId="0" applyBorder="1" applyFont="1" applyNumberFormat="1"/>
    <xf borderId="3" fillId="0" fontId="3" numFmtId="173" xfId="0" applyBorder="1" applyFont="1" applyNumberFormat="1"/>
    <xf borderId="44" fillId="4" fontId="1" numFmtId="173" xfId="0" applyAlignment="1" applyBorder="1" applyFont="1" applyNumberFormat="1">
      <alignment horizontal="right"/>
    </xf>
    <xf borderId="0" fillId="0" fontId="3" numFmtId="173" xfId="0" applyFont="1" applyNumberFormat="1"/>
    <xf borderId="44" fillId="4" fontId="1" numFmtId="178" xfId="0" applyAlignment="1" applyBorder="1" applyFont="1" applyNumberFormat="1">
      <alignment horizontal="right"/>
    </xf>
    <xf borderId="0" fillId="0" fontId="1" numFmtId="170" xfId="0" applyFont="1" applyNumberFormat="1"/>
    <xf borderId="0" fillId="0" fontId="1" numFmtId="39" xfId="0" applyFont="1" applyNumberFormat="1"/>
    <xf borderId="45" fillId="4" fontId="1" numFmtId="0" xfId="0" applyBorder="1" applyFont="1"/>
    <xf borderId="46" fillId="4" fontId="1" numFmtId="0" xfId="0" applyBorder="1" applyFont="1"/>
    <xf borderId="47" fillId="4" fontId="1" numFmtId="178" xfId="0" applyAlignment="1" applyBorder="1" applyFont="1" applyNumberFormat="1">
      <alignment horizontal="right"/>
    </xf>
    <xf borderId="12" fillId="0" fontId="1" numFmtId="37" xfId="0" applyBorder="1" applyFont="1" applyNumberFormat="1"/>
    <xf borderId="5" fillId="0" fontId="1" numFmtId="0" xfId="0" applyBorder="1" applyFont="1"/>
    <xf borderId="4" fillId="6" fontId="4" numFmtId="49" xfId="0" applyAlignment="1" applyBorder="1" applyFont="1" applyNumberFormat="1">
      <alignment horizontal="right"/>
    </xf>
    <xf borderId="4" fillId="6" fontId="4" numFmtId="173" xfId="0" applyBorder="1" applyFont="1" applyNumberFormat="1"/>
    <xf borderId="17" fillId="0" fontId="2" numFmtId="173" xfId="0" applyAlignment="1" applyBorder="1" applyFont="1" applyNumberFormat="1">
      <alignment horizontal="right"/>
    </xf>
    <xf borderId="17" fillId="0" fontId="14" numFmtId="173" xfId="0" applyBorder="1" applyFont="1" applyNumberFormat="1"/>
    <xf borderId="0" fillId="0" fontId="1" numFmtId="187" xfId="0" applyFont="1" applyNumberFormat="1"/>
    <xf borderId="33" fillId="6" fontId="4" numFmtId="173" xfId="0" applyBorder="1" applyFont="1" applyNumberFormat="1"/>
    <xf borderId="27" fillId="0" fontId="1" numFmtId="0" xfId="0" applyBorder="1" applyFont="1"/>
    <xf borderId="33" fillId="9" fontId="4" numFmtId="188" xfId="0" applyBorder="1" applyFill="1" applyFont="1" applyNumberFormat="1"/>
    <xf borderId="33" fillId="6" fontId="4" numFmtId="188" xfId="0" applyBorder="1" applyFont="1" applyNumberFormat="1"/>
    <xf borderId="4" fillId="6" fontId="4" numFmtId="188" xfId="0" applyBorder="1" applyFont="1" applyNumberFormat="1"/>
    <xf borderId="0" fillId="0" fontId="1" numFmtId="37" xfId="0" applyAlignment="1" applyFont="1" applyNumberFormat="1">
      <alignment horizontal="left"/>
    </xf>
    <xf borderId="4" fillId="0" fontId="1" numFmtId="170" xfId="0" applyBorder="1" applyFont="1" applyNumberFormat="1"/>
    <xf borderId="17" fillId="0" fontId="14" numFmtId="164" xfId="0" applyBorder="1" applyFont="1" applyNumberFormat="1"/>
    <xf borderId="0" fillId="0" fontId="1" numFmtId="9" xfId="0" applyFont="1" applyNumberFormat="1"/>
    <xf borderId="17" fillId="0" fontId="14" numFmtId="167" xfId="0" applyBorder="1" applyFont="1" applyNumberFormat="1"/>
    <xf borderId="17" fillId="0" fontId="13" numFmtId="37" xfId="0" applyBorder="1" applyFont="1" applyNumberFormat="1"/>
    <xf borderId="17" fillId="0" fontId="14" numFmtId="37" xfId="0" applyBorder="1" applyFont="1" applyNumberFormat="1"/>
    <xf borderId="17" fillId="0" fontId="14" numFmtId="164" xfId="0" applyAlignment="1" applyBorder="1" applyFont="1" applyNumberFormat="1">
      <alignment horizontal="right"/>
    </xf>
    <xf borderId="17" fillId="0" fontId="4" numFmtId="37" xfId="0" applyBorder="1" applyFont="1" applyNumberFormat="1"/>
    <xf borderId="17" fillId="0" fontId="14" numFmtId="39" xfId="0" applyBorder="1" applyFont="1" applyNumberFormat="1"/>
    <xf borderId="30" fillId="0" fontId="14" numFmtId="39" xfId="0" applyBorder="1" applyFont="1" applyNumberFormat="1"/>
    <xf borderId="17" fillId="0" fontId="14" numFmtId="176" xfId="0" applyAlignment="1" applyBorder="1" applyFont="1" applyNumberFormat="1">
      <alignment horizontal="right"/>
    </xf>
    <xf borderId="17" fillId="0" fontId="14" numFmtId="173" xfId="0" applyAlignment="1" applyBorder="1" applyFont="1" applyNumberFormat="1">
      <alignment horizontal="right"/>
    </xf>
    <xf borderId="30" fillId="0" fontId="14" numFmtId="167" xfId="0" applyBorder="1" applyFont="1" applyNumberFormat="1"/>
    <xf borderId="17" fillId="0" fontId="14" numFmtId="165" xfId="0" applyBorder="1" applyFont="1" applyNumberFormat="1"/>
    <xf borderId="17" fillId="0" fontId="14" numFmtId="172" xfId="0" applyBorder="1" applyFont="1" applyNumberFormat="1"/>
    <xf borderId="17" fillId="0" fontId="4" numFmtId="172" xfId="0" applyBorder="1" applyFont="1" applyNumberFormat="1"/>
    <xf borderId="4" fillId="0" fontId="1" numFmtId="189" xfId="0" applyBorder="1" applyFont="1" applyNumberFormat="1"/>
    <xf borderId="17" fillId="0" fontId="4" numFmtId="189" xfId="0" applyBorder="1" applyFont="1" applyNumberFormat="1"/>
    <xf borderId="30" fillId="0" fontId="4" numFmtId="189" xfId="0" applyBorder="1" applyFont="1" applyNumberFormat="1"/>
    <xf borderId="18" fillId="0" fontId="14" numFmtId="0" xfId="0" applyAlignment="1" applyBorder="1" applyFont="1">
      <alignment horizontal="left"/>
    </xf>
    <xf borderId="39" fillId="0" fontId="14" numFmtId="173" xfId="0" applyAlignment="1" applyBorder="1" applyFont="1" applyNumberFormat="1">
      <alignment horizontal="right"/>
    </xf>
    <xf borderId="21" fillId="0" fontId="14" numFmtId="0" xfId="0" applyAlignment="1" applyBorder="1" applyFont="1">
      <alignment horizontal="left"/>
    </xf>
    <xf borderId="40" fillId="0" fontId="14" numFmtId="0" xfId="0" applyAlignment="1" applyBorder="1" applyFont="1">
      <alignment horizontal="left"/>
    </xf>
    <xf borderId="12" fillId="0" fontId="1" numFmtId="165" xfId="0" applyBorder="1" applyFont="1" applyNumberFormat="1"/>
    <xf borderId="12" fillId="0" fontId="1" numFmtId="181" xfId="0" applyAlignment="1" applyBorder="1" applyFont="1" applyNumberFormat="1">
      <alignment horizontal="right"/>
    </xf>
    <xf borderId="17" fillId="0" fontId="1" numFmtId="181" xfId="0" applyAlignment="1" applyBorder="1" applyFont="1" applyNumberFormat="1">
      <alignment horizontal="right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center" wrapText="1"/>
    </xf>
    <xf borderId="0" fillId="0" fontId="13" numFmtId="190" xfId="0" applyAlignment="1" applyFont="1" applyNumberFormat="1">
      <alignment horizontal="center"/>
    </xf>
    <xf borderId="0" fillId="0" fontId="1" numFmtId="164" xfId="0" applyFont="1" applyNumberFormat="1"/>
    <xf borderId="2" fillId="4" fontId="13" numFmtId="190" xfId="0" applyAlignment="1" applyBorder="1" applyFont="1" applyNumberFormat="1">
      <alignment horizontal="center"/>
    </xf>
    <xf borderId="2" fillId="4" fontId="1" numFmtId="164" xfId="0" applyBorder="1" applyFont="1" applyNumberFormat="1"/>
    <xf borderId="2" fillId="10" fontId="1" numFmtId="164" xfId="0" applyBorder="1" applyFill="1" applyFont="1" applyNumberFormat="1"/>
    <xf borderId="1" fillId="3" fontId="3" numFmtId="0" xfId="0" applyAlignment="1" applyBorder="1" applyFont="1">
      <alignment vertical="center"/>
    </xf>
    <xf borderId="1" fillId="3" fontId="3" numFmtId="0" xfId="0" applyBorder="1" applyFont="1"/>
    <xf borderId="9" fillId="3" fontId="3" numFmtId="0" xfId="0" applyAlignment="1" applyBorder="1" applyFont="1">
      <alignment horizontal="center"/>
    </xf>
    <xf borderId="1" fillId="3" fontId="15" numFmtId="0" xfId="0" applyAlignment="1" applyBorder="1" applyFont="1">
      <alignment horizontal="right"/>
    </xf>
    <xf borderId="8" fillId="3" fontId="3" numFmtId="0" xfId="0" applyBorder="1" applyFont="1"/>
    <xf borderId="11" fillId="3" fontId="3" numFmtId="0" xfId="0" applyBorder="1" applyFont="1"/>
    <xf borderId="17" fillId="0" fontId="1" numFmtId="191" xfId="0" applyBorder="1" applyFont="1" applyNumberFormat="1"/>
    <xf borderId="7" fillId="0" fontId="1" numFmtId="173" xfId="0" applyBorder="1" applyFont="1" applyNumberFormat="1"/>
    <xf borderId="32" fillId="0" fontId="1" numFmtId="184" xfId="0" applyBorder="1" applyFont="1" applyNumberFormat="1"/>
    <xf borderId="36" fillId="11" fontId="1" numFmtId="173" xfId="0" applyBorder="1" applyFill="1" applyFont="1" applyNumberFormat="1"/>
    <xf borderId="4" fillId="6" fontId="4" numFmtId="186" xfId="0" applyBorder="1" applyFont="1" applyNumberFormat="1"/>
    <xf borderId="17" fillId="0" fontId="14" numFmtId="176" xfId="0" applyBorder="1" applyFont="1" applyNumberFormat="1"/>
    <xf borderId="17" fillId="0" fontId="4" numFmtId="167" xfId="0" applyBorder="1" applyFont="1" applyNumberFormat="1"/>
    <xf borderId="0" fillId="0" fontId="11" numFmtId="0" xfId="0" applyAlignment="1" applyFont="1">
      <alignment horizontal="left"/>
    </xf>
    <xf borderId="0" fillId="0" fontId="1" numFmtId="167" xfId="0" applyFont="1" applyNumberFormat="1"/>
    <xf borderId="17" fillId="0" fontId="4" numFmtId="173" xfId="0" applyBorder="1" applyFont="1" applyNumberFormat="1"/>
    <xf borderId="30" fillId="0" fontId="4" numFmtId="37" xfId="0" applyBorder="1" applyFont="1" applyNumberFormat="1"/>
    <xf borderId="17" fillId="0" fontId="4" numFmtId="176" xfId="0" applyAlignment="1" applyBorder="1" applyFont="1" applyNumberFormat="1">
      <alignment horizontal="right"/>
    </xf>
    <xf borderId="17" fillId="0" fontId="4" numFmtId="170" xfId="0" applyAlignment="1" applyBorder="1" applyFont="1" applyNumberFormat="1">
      <alignment horizontal="right"/>
    </xf>
    <xf borderId="44" fillId="4" fontId="4" numFmtId="176" xfId="0" applyAlignment="1" applyBorder="1" applyFont="1" applyNumberFormat="1">
      <alignment horizontal="right"/>
    </xf>
    <xf borderId="30" fillId="0" fontId="4" numFmtId="176" xfId="0" applyAlignment="1" applyBorder="1" applyFont="1" applyNumberFormat="1">
      <alignment horizontal="right"/>
    </xf>
    <xf borderId="16" fillId="0" fontId="1" numFmtId="192" xfId="0" applyAlignment="1" applyBorder="1" applyFont="1" applyNumberFormat="1">
      <alignment horizontal="left"/>
    </xf>
    <xf borderId="12" fillId="0" fontId="4" numFmtId="167" xfId="0" applyBorder="1" applyFont="1" applyNumberFormat="1"/>
    <xf borderId="30" fillId="0" fontId="4" numFmtId="167" xfId="0" applyBorder="1" applyFont="1" applyNumberFormat="1"/>
    <xf borderId="12" fillId="0" fontId="4" numFmtId="173" xfId="0" applyBorder="1" applyFont="1" applyNumberFormat="1"/>
    <xf borderId="30" fillId="0" fontId="4" numFmtId="173" xfId="0" applyBorder="1" applyFont="1" applyNumberFormat="1"/>
    <xf borderId="17" fillId="0" fontId="12" numFmtId="0" xfId="0" applyBorder="1" applyFont="1"/>
    <xf borderId="34" fillId="0" fontId="1" numFmtId="0" xfId="0" applyAlignment="1" applyBorder="1" applyFont="1">
      <alignment horizontal="left"/>
    </xf>
    <xf borderId="30" fillId="0" fontId="2" numFmtId="0" xfId="0" applyBorder="1" applyFont="1"/>
    <xf borderId="30" fillId="0" fontId="1" numFmtId="37" xfId="0" applyBorder="1" applyFont="1" applyNumberFormat="1"/>
    <xf borderId="15" fillId="12" fontId="1" numFmtId="170" xfId="0" applyBorder="1" applyFill="1" applyFont="1" applyNumberFormat="1"/>
    <xf borderId="4" fillId="6" fontId="4" numFmtId="0" xfId="0" applyAlignment="1" applyBorder="1" applyFont="1">
      <alignment horizontal="right"/>
    </xf>
    <xf borderId="44" fillId="12" fontId="4" numFmtId="167" xfId="0" applyBorder="1" applyFont="1" applyNumberFormat="1"/>
    <xf borderId="17" fillId="0" fontId="2" numFmtId="173" xfId="0" applyBorder="1" applyFont="1" applyNumberFormat="1"/>
    <xf borderId="47" fillId="12" fontId="1" numFmtId="173" xfId="0" applyBorder="1" applyFont="1" applyNumberFormat="1"/>
    <xf borderId="0" fillId="0" fontId="1" numFmtId="13" xfId="0" applyFont="1" applyNumberFormat="1"/>
    <xf borderId="17" fillId="0" fontId="14" numFmtId="9" xfId="0" applyBorder="1" applyFont="1" applyNumberFormat="1"/>
    <xf borderId="17" fillId="0" fontId="4" numFmtId="176" xfId="0" applyBorder="1" applyFont="1" applyNumberFormat="1"/>
    <xf borderId="17" fillId="0" fontId="4" numFmtId="170" xfId="0" applyBorder="1" applyFont="1" applyNumberFormat="1"/>
    <xf borderId="44" fillId="4" fontId="4" numFmtId="176" xfId="0" applyBorder="1" applyFont="1" applyNumberFormat="1"/>
    <xf borderId="30" fillId="0" fontId="4" numFmtId="176" xfId="0" applyBorder="1" applyFont="1" applyNumberFormat="1"/>
    <xf borderId="30" fillId="0" fontId="14" numFmtId="172" xfId="0" applyBorder="1" applyFont="1" applyNumberFormat="1"/>
    <xf borderId="17" fillId="0" fontId="4" numFmtId="167" xfId="0" applyAlignment="1" applyBorder="1" applyFont="1" applyNumberFormat="1">
      <alignment horizontal="right"/>
    </xf>
    <xf borderId="30" fillId="0" fontId="4" numFmtId="172" xfId="0" applyBorder="1" applyFont="1" applyNumberFormat="1"/>
    <xf borderId="12" fillId="0" fontId="1" numFmtId="176" xfId="0" applyBorder="1" applyFont="1" applyNumberFormat="1"/>
  </cellXfs>
  <cellStyles count="1">
    <cellStyle xfId="0" name="Normal" builtinId="0"/>
  </cellStyles>
  <dxfs count="7">
    <dxf>
      <font/>
      <numFmt numFmtId="0" formatCode="_([$€-2]\ * #,##0.00_);_([$€-2]\ * \(#,##0.00\);_([$€-2]\ * &quot;-&quot;??_);_(@_)"/>
      <fill>
        <patternFill patternType="none"/>
      </fill>
      <border/>
    </dxf>
    <dxf>
      <font>
        <color theme="1"/>
      </font>
      <fill>
        <patternFill patternType="solid">
          <fgColor rgb="FF595959"/>
          <bgColor rgb="FF59595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595959"/>
          <bgColor rgb="FF595959"/>
        </patternFill>
      </fill>
      <border/>
    </dxf>
    <dxf>
      <font/>
      <numFmt numFmtId="0" formatCode="_([$€-2]\ * #,##0_);_([$€-2]\ * \(#,##0\);_([$€-2]\ * &quot;-&quot;_);_(@_)"/>
      <fill>
        <patternFill patternType="none"/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Part cost allocation</a:t>
            </a:r>
          </a:p>
        </c:rich>
      </c:tx>
      <c:overlay val="0"/>
    </c:title>
    <c:plotArea>
      <c:layout>
        <c:manualLayout>
          <c:xMode val="edge"/>
          <c:yMode val="edge"/>
          <c:x val="0.17700288051192664"/>
          <c:y val="0.17333623850453808"/>
          <c:w val="0.48184815124768243"/>
          <c:h val="0.7830032457774839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rgbClr val="00B0F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Universal!$S$32:$S$36</c:f>
            </c:strRef>
          </c:cat>
          <c:val>
            <c:numRef>
              <c:f>Universal!$T$32:$T$36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20762711472575"/>
          <c:y val="0.36346817334856046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Part cost allocation</a:t>
            </a:r>
          </a:p>
        </c:rich>
      </c:tx>
      <c:overlay val="0"/>
    </c:title>
    <c:plotArea>
      <c:layout>
        <c:manualLayout>
          <c:xMode val="edge"/>
          <c:yMode val="edge"/>
          <c:x val="0.1772749529353077"/>
          <c:y val="0.1803698973756501"/>
          <c:w val="0.47400801650038155"/>
          <c:h val="0.7702630090962832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FFC000"/>
              </a:solidFill>
            </c:spPr>
          </c:dPt>
          <c:dPt>
            <c:idx val="3"/>
            <c:spPr>
              <a:solidFill>
                <a:srgbClr val="00B0F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Universal!$AJ$32:$AJ$35</c:f>
            </c:strRef>
          </c:cat>
          <c:val>
            <c:numRef>
              <c:f>Universal!$AK$32:$AK$35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221765370801323"/>
          <c:y val="0.40309024250874537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Shop System 8L sintered part cost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Shop!$S$32:$S$36</c:f>
            </c:strRef>
          </c:cat>
          <c:val>
            <c:numRef>
              <c:f>Shop!$T$32:$T$36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Production System P-1 sintered part cost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'P-1'!$S$32:$S$36</c:f>
            </c:strRef>
          </c:cat>
          <c:val>
            <c:numRef>
              <c:f>'P-1'!$T$32:$T$36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Production System P-50 sintered part cost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'P-50 Base'!$S$32:$S$36</c:f>
            </c:strRef>
          </c:cat>
          <c:val>
            <c:numRef>
              <c:f>'P-50 Base'!$T$32:$T$36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Production System P-50 sintered part cost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'P-50 Auto'!$S$32:$S$36</c:f>
            </c:strRef>
          </c:cat>
          <c:val>
            <c:numRef>
              <c:f>'P-50 Auto'!$T$32:$T$36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28575</xdr:colOff>
      <xdr:row>1</xdr:row>
      <xdr:rowOff>19050</xdr:rowOff>
    </xdr:from>
    <xdr:ext cx="4886325" cy="3009900"/>
    <xdr:graphicFrame>
      <xdr:nvGraphicFramePr>
        <xdr:cNvPr id="137465686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37</xdr:col>
      <xdr:colOff>219075</xdr:colOff>
      <xdr:row>1</xdr:row>
      <xdr:rowOff>19050</xdr:rowOff>
    </xdr:from>
    <xdr:ext cx="5429250" cy="3343275"/>
    <xdr:graphicFrame>
      <xdr:nvGraphicFramePr>
        <xdr:cNvPr id="109573436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733425</xdr:colOff>
      <xdr:row>1</xdr:row>
      <xdr:rowOff>0</xdr:rowOff>
    </xdr:from>
    <xdr:ext cx="4962525" cy="3257550"/>
    <xdr:graphicFrame>
      <xdr:nvGraphicFramePr>
        <xdr:cNvPr id="110790357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733425</xdr:colOff>
      <xdr:row>1</xdr:row>
      <xdr:rowOff>0</xdr:rowOff>
    </xdr:from>
    <xdr:ext cx="4962525" cy="3257550"/>
    <xdr:graphicFrame>
      <xdr:nvGraphicFramePr>
        <xdr:cNvPr id="981158456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733425</xdr:colOff>
      <xdr:row>1</xdr:row>
      <xdr:rowOff>0</xdr:rowOff>
    </xdr:from>
    <xdr:ext cx="4962525" cy="3257550"/>
    <xdr:graphicFrame>
      <xdr:nvGraphicFramePr>
        <xdr:cNvPr id="119011083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733425</xdr:colOff>
      <xdr:row>1</xdr:row>
      <xdr:rowOff>0</xdr:rowOff>
    </xdr:from>
    <xdr:ext cx="4962525" cy="3257550"/>
    <xdr:graphicFrame>
      <xdr:nvGraphicFramePr>
        <xdr:cNvPr id="4918138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3" width="87.86"/>
    <col customWidth="1" min="4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44627.0</v>
      </c>
      <c r="C2" s="4" t="s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5</v>
      </c>
      <c r="B3" s="3">
        <v>44629.0</v>
      </c>
      <c r="C3" s="6" t="s">
        <v>6</v>
      </c>
    </row>
    <row r="4">
      <c r="A4" s="2" t="s">
        <v>7</v>
      </c>
      <c r="B4" s="3">
        <v>44652.0</v>
      </c>
      <c r="C4" s="4" t="s">
        <v>8</v>
      </c>
    </row>
    <row r="5">
      <c r="A5" s="2" t="s">
        <v>9</v>
      </c>
      <c r="B5" s="3">
        <v>44663.0</v>
      </c>
      <c r="C5" s="6" t="s">
        <v>10</v>
      </c>
    </row>
    <row r="6">
      <c r="A6" s="2" t="s">
        <v>11</v>
      </c>
      <c r="B6" s="3">
        <v>44680.0</v>
      </c>
      <c r="C6" s="4" t="s">
        <v>12</v>
      </c>
    </row>
    <row r="7">
      <c r="A7" s="2" t="s">
        <v>13</v>
      </c>
      <c r="B7" s="3">
        <v>44729.0</v>
      </c>
      <c r="C7" s="4" t="s">
        <v>14</v>
      </c>
    </row>
    <row r="8">
      <c r="A8" s="2" t="s">
        <v>15</v>
      </c>
      <c r="B8" s="3">
        <v>44764.0</v>
      </c>
      <c r="C8" s="4" t="s">
        <v>16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17</v>
      </c>
      <c r="B9" s="3">
        <v>44791.0</v>
      </c>
      <c r="C9" s="4" t="s">
        <v>18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19</v>
      </c>
      <c r="B10" s="3">
        <v>44915.0</v>
      </c>
      <c r="C10" s="4" t="s">
        <v>20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94.5" customHeight="1">
      <c r="A11" s="2" t="s">
        <v>21</v>
      </c>
      <c r="B11" s="3">
        <v>44923.0</v>
      </c>
      <c r="C11" s="7" t="s">
        <v>22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51.75" customHeight="1">
      <c r="A12" s="2" t="s">
        <v>23</v>
      </c>
      <c r="B12" s="3">
        <v>44958.0</v>
      </c>
      <c r="C12" s="4" t="s">
        <v>24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25</v>
      </c>
      <c r="B13" s="3">
        <v>45296.0</v>
      </c>
      <c r="C13" s="4" t="s">
        <v>26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2" t="s">
        <v>25</v>
      </c>
      <c r="B14" s="3">
        <v>45344.0</v>
      </c>
      <c r="C14" s="4" t="s">
        <v>27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2" t="s">
        <v>25</v>
      </c>
      <c r="B15" s="3">
        <v>45372.0</v>
      </c>
      <c r="C15" s="4" t="s">
        <v>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2"/>
      <c r="B16" s="3"/>
      <c r="C16" s="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2"/>
      <c r="B17" s="3"/>
      <c r="C17" s="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2"/>
      <c r="B18" s="3"/>
      <c r="C18" s="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2"/>
      <c r="B19" s="3"/>
      <c r="C19" s="8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2"/>
      <c r="B20" s="3"/>
      <c r="C20" s="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2"/>
      <c r="B21" s="3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2"/>
      <c r="B22" s="3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2"/>
      <c r="B23" s="3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2"/>
      <c r="B24" s="3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2"/>
      <c r="B25" s="3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2"/>
      <c r="B26" s="3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2"/>
      <c r="B27" s="3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2"/>
      <c r="B28" s="3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2"/>
      <c r="B29" s="3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2"/>
      <c r="B30" s="3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2"/>
      <c r="B31" s="3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2"/>
      <c r="B32" s="3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"/>
      <c r="B33" s="1"/>
      <c r="C33" s="9"/>
    </row>
    <row r="34" ht="14.25" customHeight="1">
      <c r="A34" s="1"/>
      <c r="B34" s="1"/>
      <c r="C34" s="9"/>
    </row>
    <row r="35" ht="14.25" customHeight="1">
      <c r="A35" s="1"/>
      <c r="B35" s="1"/>
      <c r="C35" s="9"/>
    </row>
    <row r="36" ht="14.25" customHeight="1">
      <c r="A36" s="1"/>
      <c r="B36" s="1"/>
      <c r="C36" s="9"/>
    </row>
    <row r="37" ht="14.25" customHeight="1">
      <c r="A37" s="1"/>
      <c r="B37" s="1"/>
      <c r="C37" s="9"/>
    </row>
    <row r="38" ht="14.25" customHeight="1">
      <c r="A38" s="1"/>
      <c r="B38" s="1"/>
      <c r="C38" s="9"/>
    </row>
    <row r="39" ht="14.25" customHeight="1">
      <c r="A39" s="1"/>
      <c r="B39" s="1"/>
      <c r="C39" s="9"/>
    </row>
    <row r="40" ht="14.25" customHeight="1">
      <c r="A40" s="1"/>
      <c r="B40" s="1"/>
      <c r="C40" s="9"/>
    </row>
    <row r="41" ht="14.25" customHeight="1">
      <c r="A41" s="1"/>
      <c r="B41" s="1"/>
      <c r="C41" s="9"/>
    </row>
    <row r="42" ht="14.25" customHeight="1">
      <c r="A42" s="1"/>
      <c r="B42" s="1"/>
      <c r="C42" s="9"/>
    </row>
    <row r="43" ht="14.25" customHeight="1">
      <c r="A43" s="1"/>
      <c r="B43" s="1"/>
      <c r="C43" s="9"/>
    </row>
    <row r="44" ht="14.25" customHeight="1">
      <c r="A44" s="1"/>
      <c r="B44" s="1"/>
      <c r="C44" s="9"/>
    </row>
    <row r="45" ht="14.25" customHeight="1">
      <c r="A45" s="1"/>
      <c r="B45" s="1"/>
      <c r="C45" s="9"/>
    </row>
    <row r="46" ht="14.25" customHeight="1">
      <c r="A46" s="1"/>
      <c r="B46" s="1"/>
      <c r="C46" s="9"/>
    </row>
    <row r="47" ht="14.25" customHeight="1">
      <c r="A47" s="1"/>
      <c r="B47" s="1"/>
      <c r="C47" s="9"/>
    </row>
    <row r="48" ht="14.25" customHeight="1">
      <c r="A48" s="1"/>
      <c r="B48" s="1"/>
      <c r="C48" s="9"/>
    </row>
    <row r="49" ht="14.25" customHeight="1">
      <c r="A49" s="1"/>
      <c r="B49" s="1"/>
      <c r="C49" s="9"/>
    </row>
    <row r="50" ht="14.25" customHeight="1">
      <c r="A50" s="1"/>
      <c r="B50" s="1"/>
      <c r="C50" s="9"/>
    </row>
    <row r="51" ht="14.25" customHeight="1">
      <c r="A51" s="1"/>
      <c r="B51" s="1"/>
      <c r="C51" s="9"/>
    </row>
    <row r="52" ht="14.25" customHeight="1">
      <c r="A52" s="1"/>
      <c r="B52" s="1"/>
      <c r="C52" s="9"/>
    </row>
    <row r="53" ht="14.25" customHeight="1">
      <c r="A53" s="1"/>
      <c r="B53" s="1"/>
      <c r="C53" s="9"/>
    </row>
    <row r="54" ht="14.25" customHeight="1">
      <c r="A54" s="1"/>
      <c r="B54" s="1"/>
      <c r="C54" s="9"/>
    </row>
    <row r="55" ht="14.25" customHeight="1">
      <c r="A55" s="1"/>
      <c r="B55" s="1"/>
      <c r="C55" s="9"/>
    </row>
    <row r="56" ht="14.25" customHeight="1">
      <c r="A56" s="1"/>
      <c r="B56" s="1"/>
      <c r="C56" s="9"/>
    </row>
    <row r="57" ht="14.25" customHeight="1">
      <c r="A57" s="1"/>
      <c r="B57" s="1"/>
      <c r="C57" s="9"/>
    </row>
    <row r="58" ht="14.25" customHeight="1">
      <c r="A58" s="1"/>
      <c r="B58" s="1"/>
      <c r="C58" s="9"/>
    </row>
    <row r="59" ht="14.25" customHeight="1">
      <c r="A59" s="1"/>
      <c r="B59" s="1"/>
      <c r="C59" s="9"/>
    </row>
    <row r="60" ht="14.25" customHeight="1">
      <c r="A60" s="1"/>
      <c r="B60" s="1"/>
      <c r="C60" s="9"/>
    </row>
    <row r="61" ht="14.25" customHeight="1">
      <c r="A61" s="1"/>
      <c r="B61" s="1"/>
      <c r="C61" s="9"/>
    </row>
    <row r="62" ht="14.25" customHeight="1">
      <c r="A62" s="1"/>
      <c r="B62" s="1"/>
      <c r="C62" s="9"/>
    </row>
    <row r="63" ht="14.25" customHeight="1">
      <c r="A63" s="1"/>
      <c r="B63" s="1"/>
      <c r="C63" s="9"/>
    </row>
    <row r="64" ht="14.25" customHeight="1">
      <c r="A64" s="1"/>
      <c r="B64" s="1"/>
      <c r="C64" s="9"/>
    </row>
    <row r="65" ht="14.25" customHeight="1">
      <c r="A65" s="1"/>
      <c r="B65" s="1"/>
      <c r="C65" s="9"/>
    </row>
    <row r="66" ht="14.25" customHeight="1">
      <c r="A66" s="1"/>
      <c r="B66" s="1"/>
      <c r="C66" s="9"/>
    </row>
    <row r="67" ht="14.25" customHeight="1">
      <c r="A67" s="1"/>
      <c r="B67" s="1"/>
      <c r="C67" s="9"/>
    </row>
    <row r="68" ht="14.25" customHeight="1">
      <c r="A68" s="1"/>
      <c r="B68" s="1"/>
      <c r="C68" s="9"/>
    </row>
    <row r="69" ht="14.25" customHeight="1">
      <c r="A69" s="1"/>
      <c r="B69" s="1"/>
      <c r="C69" s="9"/>
    </row>
    <row r="70" ht="14.25" customHeight="1">
      <c r="A70" s="1"/>
      <c r="B70" s="1"/>
      <c r="C70" s="9"/>
    </row>
    <row r="71" ht="14.25" customHeight="1">
      <c r="A71" s="1"/>
      <c r="B71" s="1"/>
      <c r="C71" s="9"/>
    </row>
    <row r="72" ht="14.25" customHeight="1">
      <c r="A72" s="1"/>
      <c r="B72" s="1"/>
      <c r="C72" s="9"/>
    </row>
    <row r="73" ht="14.25" customHeight="1">
      <c r="A73" s="1"/>
      <c r="B73" s="1"/>
      <c r="C73" s="9"/>
    </row>
    <row r="74" ht="14.25" customHeight="1">
      <c r="A74" s="1"/>
      <c r="B74" s="1"/>
      <c r="C74" s="9"/>
    </row>
    <row r="75" ht="14.25" customHeight="1">
      <c r="A75" s="1"/>
      <c r="B75" s="1"/>
      <c r="C75" s="9"/>
    </row>
    <row r="76" ht="14.25" customHeight="1">
      <c r="A76" s="1"/>
      <c r="B76" s="1"/>
      <c r="C76" s="9"/>
    </row>
    <row r="77" ht="14.25" customHeight="1">
      <c r="A77" s="1"/>
      <c r="B77" s="1"/>
      <c r="C77" s="9"/>
    </row>
    <row r="78" ht="14.25" customHeight="1">
      <c r="A78" s="1"/>
      <c r="B78" s="1"/>
      <c r="C78" s="9"/>
    </row>
    <row r="79" ht="14.25" customHeight="1">
      <c r="A79" s="1"/>
      <c r="B79" s="1"/>
      <c r="C79" s="9"/>
    </row>
    <row r="80" ht="14.25" customHeight="1">
      <c r="A80" s="1"/>
      <c r="B80" s="1"/>
      <c r="C80" s="9"/>
    </row>
    <row r="81" ht="14.25" customHeight="1">
      <c r="A81" s="1"/>
      <c r="B81" s="1"/>
      <c r="C81" s="9"/>
    </row>
    <row r="82" ht="14.25" customHeight="1">
      <c r="A82" s="1"/>
      <c r="B82" s="1"/>
      <c r="C82" s="9"/>
    </row>
    <row r="83" ht="14.25" customHeight="1">
      <c r="A83" s="1"/>
      <c r="B83" s="1"/>
      <c r="C83" s="9"/>
    </row>
    <row r="84" ht="14.25" customHeight="1">
      <c r="A84" s="1"/>
      <c r="B84" s="1"/>
      <c r="C84" s="9"/>
    </row>
    <row r="85" ht="14.25" customHeight="1">
      <c r="A85" s="1"/>
      <c r="B85" s="1"/>
      <c r="C85" s="9"/>
    </row>
    <row r="86" ht="14.25" customHeight="1">
      <c r="A86" s="1"/>
      <c r="B86" s="1"/>
      <c r="C86" s="9"/>
    </row>
    <row r="87" ht="14.25" customHeight="1">
      <c r="A87" s="1"/>
      <c r="B87" s="1"/>
      <c r="C87" s="9"/>
    </row>
    <row r="88" ht="14.25" customHeight="1">
      <c r="A88" s="1"/>
      <c r="B88" s="1"/>
      <c r="C88" s="9"/>
    </row>
    <row r="89" ht="14.25" customHeight="1">
      <c r="A89" s="1"/>
      <c r="B89" s="1"/>
      <c r="C89" s="9"/>
    </row>
    <row r="90" ht="14.25" customHeight="1">
      <c r="A90" s="1"/>
      <c r="B90" s="1"/>
      <c r="C90" s="9"/>
    </row>
    <row r="91" ht="14.25" customHeight="1">
      <c r="A91" s="1"/>
      <c r="B91" s="1"/>
      <c r="C91" s="9"/>
    </row>
    <row r="92" ht="14.25" customHeight="1">
      <c r="A92" s="1"/>
      <c r="B92" s="1"/>
      <c r="C92" s="9"/>
    </row>
    <row r="93" ht="14.25" customHeight="1">
      <c r="A93" s="1"/>
      <c r="B93" s="1"/>
      <c r="C93" s="9"/>
    </row>
    <row r="94" ht="14.25" customHeight="1">
      <c r="A94" s="1"/>
      <c r="B94" s="1"/>
      <c r="C94" s="9"/>
    </row>
    <row r="95" ht="14.25" customHeight="1">
      <c r="A95" s="1"/>
      <c r="B95" s="1"/>
      <c r="C95" s="9"/>
    </row>
    <row r="96" ht="14.25" customHeight="1">
      <c r="A96" s="1"/>
      <c r="B96" s="1"/>
      <c r="C96" s="9"/>
    </row>
    <row r="97" ht="14.25" customHeight="1">
      <c r="A97" s="1"/>
      <c r="B97" s="1"/>
      <c r="C97" s="9"/>
    </row>
    <row r="98" ht="14.25" customHeight="1">
      <c r="A98" s="1"/>
      <c r="B98" s="1"/>
      <c r="C98" s="9"/>
    </row>
    <row r="99" ht="14.25" customHeight="1">
      <c r="A99" s="1"/>
      <c r="B99" s="1"/>
      <c r="C99" s="9"/>
    </row>
    <row r="100" ht="14.25" customHeight="1">
      <c r="A100" s="1"/>
      <c r="B100" s="1"/>
      <c r="C100" s="9"/>
    </row>
    <row r="101" ht="14.25" customHeight="1">
      <c r="A101" s="1"/>
      <c r="B101" s="1"/>
      <c r="C101" s="9"/>
    </row>
    <row r="102" ht="14.25" customHeight="1">
      <c r="A102" s="1"/>
      <c r="B102" s="1"/>
      <c r="C102" s="9"/>
    </row>
    <row r="103" ht="14.25" customHeight="1">
      <c r="A103" s="1"/>
      <c r="B103" s="1"/>
      <c r="C103" s="9"/>
    </row>
    <row r="104" ht="14.25" customHeight="1">
      <c r="A104" s="1"/>
      <c r="B104" s="1"/>
      <c r="C104" s="9"/>
    </row>
    <row r="105" ht="14.25" customHeight="1">
      <c r="A105" s="1"/>
      <c r="B105" s="1"/>
      <c r="C105" s="9"/>
    </row>
    <row r="106" ht="14.25" customHeight="1">
      <c r="A106" s="1"/>
      <c r="B106" s="1"/>
      <c r="C106" s="9"/>
    </row>
    <row r="107" ht="14.25" customHeight="1">
      <c r="A107" s="1"/>
      <c r="B107" s="1"/>
      <c r="C107" s="9"/>
    </row>
    <row r="108" ht="14.25" customHeight="1">
      <c r="A108" s="1"/>
      <c r="B108" s="1"/>
      <c r="C108" s="9"/>
    </row>
    <row r="109" ht="14.25" customHeight="1">
      <c r="A109" s="1"/>
      <c r="B109" s="1"/>
      <c r="C109" s="9"/>
    </row>
    <row r="110" ht="14.25" customHeight="1">
      <c r="A110" s="1"/>
      <c r="B110" s="1"/>
      <c r="C110" s="9"/>
    </row>
    <row r="111" ht="14.25" customHeight="1">
      <c r="A111" s="1"/>
      <c r="B111" s="1"/>
      <c r="C111" s="9"/>
    </row>
    <row r="112" ht="14.25" customHeight="1">
      <c r="A112" s="1"/>
      <c r="B112" s="1"/>
      <c r="C112" s="9"/>
    </row>
    <row r="113" ht="14.25" customHeight="1">
      <c r="A113" s="1"/>
      <c r="B113" s="1"/>
      <c r="C113" s="9"/>
    </row>
    <row r="114" ht="14.25" customHeight="1">
      <c r="A114" s="1"/>
      <c r="B114" s="1"/>
      <c r="C114" s="9"/>
    </row>
    <row r="115" ht="14.25" customHeight="1">
      <c r="A115" s="1"/>
      <c r="B115" s="1"/>
      <c r="C115" s="9"/>
    </row>
    <row r="116" ht="14.25" customHeight="1">
      <c r="A116" s="1"/>
      <c r="B116" s="1"/>
      <c r="C116" s="9"/>
    </row>
    <row r="117" ht="14.25" customHeight="1">
      <c r="A117" s="1"/>
      <c r="B117" s="1"/>
      <c r="C117" s="9"/>
    </row>
    <row r="118" ht="14.25" customHeight="1">
      <c r="A118" s="1"/>
      <c r="B118" s="1"/>
      <c r="C118" s="9"/>
    </row>
    <row r="119" ht="14.25" customHeight="1">
      <c r="A119" s="1"/>
      <c r="B119" s="1"/>
      <c r="C119" s="9"/>
    </row>
    <row r="120" ht="14.25" customHeight="1">
      <c r="A120" s="1"/>
      <c r="B120" s="1"/>
      <c r="C120" s="9"/>
    </row>
    <row r="121" ht="14.25" customHeight="1">
      <c r="A121" s="1"/>
      <c r="B121" s="1"/>
      <c r="C121" s="9"/>
    </row>
    <row r="122" ht="14.25" customHeight="1">
      <c r="A122" s="1"/>
      <c r="B122" s="1"/>
      <c r="C122" s="9"/>
    </row>
    <row r="123" ht="14.25" customHeight="1">
      <c r="A123" s="1"/>
      <c r="B123" s="1"/>
      <c r="C123" s="9"/>
    </row>
    <row r="124" ht="14.25" customHeight="1">
      <c r="A124" s="1"/>
      <c r="B124" s="1"/>
      <c r="C124" s="9"/>
    </row>
    <row r="125" ht="14.25" customHeight="1">
      <c r="A125" s="1"/>
      <c r="B125" s="1"/>
      <c r="C125" s="9"/>
    </row>
    <row r="126" ht="14.25" customHeight="1">
      <c r="A126" s="1"/>
      <c r="B126" s="1"/>
      <c r="C126" s="9"/>
    </row>
    <row r="127" ht="14.25" customHeight="1">
      <c r="A127" s="1"/>
      <c r="B127" s="1"/>
      <c r="C127" s="9"/>
    </row>
    <row r="128" ht="14.25" customHeight="1">
      <c r="A128" s="1"/>
      <c r="B128" s="1"/>
      <c r="C128" s="9"/>
    </row>
    <row r="129" ht="14.25" customHeight="1">
      <c r="A129" s="1"/>
      <c r="B129" s="1"/>
      <c r="C129" s="9"/>
    </row>
    <row r="130" ht="14.25" customHeight="1">
      <c r="A130" s="1"/>
      <c r="B130" s="1"/>
      <c r="C130" s="9"/>
    </row>
    <row r="131" ht="14.25" customHeight="1">
      <c r="A131" s="1"/>
      <c r="B131" s="1"/>
      <c r="C131" s="9"/>
    </row>
    <row r="132" ht="14.25" customHeight="1">
      <c r="A132" s="1"/>
      <c r="B132" s="1"/>
      <c r="C132" s="9"/>
    </row>
    <row r="133" ht="14.25" customHeight="1">
      <c r="A133" s="1"/>
      <c r="B133" s="1"/>
      <c r="C133" s="9"/>
    </row>
    <row r="134" ht="14.25" customHeight="1">
      <c r="A134" s="1"/>
      <c r="B134" s="1"/>
      <c r="C134" s="9"/>
    </row>
    <row r="135" ht="14.25" customHeight="1">
      <c r="A135" s="1"/>
      <c r="B135" s="1"/>
      <c r="C135" s="9"/>
    </row>
    <row r="136" ht="14.25" customHeight="1">
      <c r="A136" s="1"/>
      <c r="B136" s="1"/>
      <c r="C136" s="9"/>
    </row>
    <row r="137" ht="14.25" customHeight="1">
      <c r="A137" s="1"/>
      <c r="B137" s="1"/>
      <c r="C137" s="9"/>
    </row>
    <row r="138" ht="14.25" customHeight="1">
      <c r="A138" s="1"/>
      <c r="B138" s="1"/>
      <c r="C138" s="9"/>
    </row>
    <row r="139" ht="14.25" customHeight="1">
      <c r="A139" s="1"/>
      <c r="B139" s="1"/>
      <c r="C139" s="9"/>
    </row>
    <row r="140" ht="14.25" customHeight="1">
      <c r="A140" s="1"/>
      <c r="B140" s="1"/>
      <c r="C140" s="9"/>
    </row>
    <row r="141" ht="14.25" customHeight="1">
      <c r="A141" s="1"/>
      <c r="B141" s="1"/>
      <c r="C141" s="9"/>
    </row>
    <row r="142" ht="14.25" customHeight="1">
      <c r="A142" s="1"/>
      <c r="B142" s="1"/>
      <c r="C142" s="9"/>
    </row>
    <row r="143" ht="14.25" customHeight="1">
      <c r="A143" s="1"/>
      <c r="B143" s="1"/>
      <c r="C143" s="9"/>
    </row>
    <row r="144" ht="14.25" customHeight="1">
      <c r="A144" s="1"/>
      <c r="B144" s="1"/>
      <c r="C144" s="9"/>
    </row>
    <row r="145" ht="14.25" customHeight="1">
      <c r="A145" s="1"/>
      <c r="B145" s="1"/>
      <c r="C145" s="9"/>
    </row>
    <row r="146" ht="14.25" customHeight="1">
      <c r="A146" s="1"/>
      <c r="B146" s="1"/>
      <c r="C146" s="9"/>
    </row>
    <row r="147" ht="14.25" customHeight="1">
      <c r="A147" s="1"/>
      <c r="B147" s="1"/>
      <c r="C147" s="9"/>
    </row>
    <row r="148" ht="14.25" customHeight="1">
      <c r="A148" s="1"/>
      <c r="B148" s="1"/>
      <c r="C148" s="9"/>
    </row>
    <row r="149" ht="14.25" customHeight="1">
      <c r="A149" s="1"/>
      <c r="B149" s="1"/>
      <c r="C149" s="9"/>
    </row>
    <row r="150" ht="14.25" customHeight="1">
      <c r="A150" s="1"/>
      <c r="B150" s="1"/>
      <c r="C150" s="9"/>
    </row>
    <row r="151" ht="14.25" customHeight="1">
      <c r="A151" s="1"/>
      <c r="B151" s="1"/>
      <c r="C151" s="9"/>
    </row>
    <row r="152" ht="14.25" customHeight="1">
      <c r="A152" s="1"/>
      <c r="B152" s="1"/>
      <c r="C152" s="9"/>
    </row>
    <row r="153" ht="14.25" customHeight="1">
      <c r="A153" s="1"/>
      <c r="B153" s="1"/>
      <c r="C153" s="9"/>
    </row>
    <row r="154" ht="14.25" customHeight="1">
      <c r="A154" s="1"/>
      <c r="B154" s="1"/>
      <c r="C154" s="9"/>
    </row>
    <row r="155" ht="14.25" customHeight="1">
      <c r="A155" s="1"/>
      <c r="B155" s="1"/>
      <c r="C155" s="9"/>
    </row>
    <row r="156" ht="14.25" customHeight="1">
      <c r="A156" s="1"/>
      <c r="B156" s="1"/>
      <c r="C156" s="9"/>
    </row>
    <row r="157" ht="14.25" customHeight="1">
      <c r="A157" s="1"/>
      <c r="B157" s="1"/>
      <c r="C157" s="9"/>
    </row>
    <row r="158" ht="14.25" customHeight="1">
      <c r="A158" s="1"/>
      <c r="B158" s="1"/>
      <c r="C158" s="9"/>
    </row>
    <row r="159" ht="14.25" customHeight="1">
      <c r="A159" s="1"/>
      <c r="B159" s="1"/>
      <c r="C159" s="9"/>
    </row>
    <row r="160" ht="14.25" customHeight="1">
      <c r="A160" s="1"/>
      <c r="B160" s="1"/>
      <c r="C160" s="9"/>
    </row>
    <row r="161" ht="14.25" customHeight="1">
      <c r="A161" s="1"/>
      <c r="B161" s="1"/>
      <c r="C161" s="9"/>
    </row>
    <row r="162" ht="14.25" customHeight="1">
      <c r="A162" s="1"/>
      <c r="B162" s="1"/>
      <c r="C162" s="9"/>
    </row>
    <row r="163" ht="14.25" customHeight="1">
      <c r="A163" s="1"/>
      <c r="B163" s="1"/>
      <c r="C163" s="9"/>
    </row>
    <row r="164" ht="14.25" customHeight="1">
      <c r="A164" s="1"/>
      <c r="B164" s="1"/>
      <c r="C164" s="9"/>
    </row>
    <row r="165" ht="14.25" customHeight="1">
      <c r="A165" s="1"/>
      <c r="B165" s="1"/>
      <c r="C165" s="9"/>
    </row>
    <row r="166" ht="14.25" customHeight="1">
      <c r="A166" s="1"/>
      <c r="B166" s="1"/>
      <c r="C166" s="9"/>
    </row>
    <row r="167" ht="14.25" customHeight="1">
      <c r="A167" s="1"/>
      <c r="B167" s="1"/>
      <c r="C167" s="9"/>
    </row>
    <row r="168" ht="14.25" customHeight="1">
      <c r="A168" s="1"/>
      <c r="B168" s="1"/>
      <c r="C168" s="9"/>
    </row>
    <row r="169" ht="14.25" customHeight="1">
      <c r="A169" s="1"/>
      <c r="B169" s="1"/>
      <c r="C169" s="9"/>
    </row>
    <row r="170" ht="14.25" customHeight="1">
      <c r="A170" s="1"/>
      <c r="B170" s="1"/>
      <c r="C170" s="9"/>
    </row>
    <row r="171" ht="14.25" customHeight="1">
      <c r="A171" s="1"/>
      <c r="B171" s="1"/>
      <c r="C171" s="9"/>
    </row>
    <row r="172" ht="14.25" customHeight="1">
      <c r="A172" s="1"/>
      <c r="B172" s="1"/>
      <c r="C172" s="9"/>
    </row>
    <row r="173" ht="14.25" customHeight="1">
      <c r="A173" s="1"/>
      <c r="B173" s="1"/>
      <c r="C173" s="9"/>
    </row>
    <row r="174" ht="14.25" customHeight="1">
      <c r="A174" s="1"/>
      <c r="B174" s="1"/>
      <c r="C174" s="9"/>
    </row>
    <row r="175" ht="14.25" customHeight="1">
      <c r="A175" s="1"/>
      <c r="B175" s="1"/>
      <c r="C175" s="9"/>
    </row>
    <row r="176" ht="14.25" customHeight="1">
      <c r="A176" s="1"/>
      <c r="B176" s="1"/>
      <c r="C176" s="9"/>
    </row>
    <row r="177" ht="14.25" customHeight="1">
      <c r="A177" s="1"/>
      <c r="B177" s="1"/>
      <c r="C177" s="9"/>
    </row>
    <row r="178" ht="14.25" customHeight="1">
      <c r="A178" s="1"/>
      <c r="B178" s="1"/>
      <c r="C178" s="9"/>
    </row>
    <row r="179" ht="14.25" customHeight="1">
      <c r="A179" s="1"/>
      <c r="B179" s="1"/>
      <c r="C179" s="9"/>
    </row>
    <row r="180" ht="14.25" customHeight="1">
      <c r="A180" s="1"/>
      <c r="B180" s="1"/>
      <c r="C180" s="9"/>
    </row>
    <row r="181" ht="14.25" customHeight="1">
      <c r="A181" s="1"/>
      <c r="B181" s="1"/>
      <c r="C181" s="9"/>
    </row>
    <row r="182" ht="14.25" customHeight="1">
      <c r="A182" s="1"/>
      <c r="B182" s="1"/>
      <c r="C182" s="9"/>
    </row>
    <row r="183" ht="14.25" customHeight="1">
      <c r="A183" s="1"/>
      <c r="B183" s="1"/>
      <c r="C183" s="9"/>
    </row>
    <row r="184" ht="14.25" customHeight="1">
      <c r="A184" s="1"/>
      <c r="B184" s="1"/>
      <c r="C184" s="9"/>
    </row>
    <row r="185" ht="14.25" customHeight="1">
      <c r="A185" s="1"/>
      <c r="B185" s="1"/>
      <c r="C185" s="9"/>
    </row>
    <row r="186" ht="14.25" customHeight="1">
      <c r="A186" s="1"/>
      <c r="B186" s="1"/>
      <c r="C186" s="9"/>
    </row>
    <row r="187" ht="14.25" customHeight="1">
      <c r="A187" s="1"/>
      <c r="B187" s="1"/>
      <c r="C187" s="9"/>
    </row>
    <row r="188" ht="14.25" customHeight="1">
      <c r="A188" s="1"/>
      <c r="B188" s="1"/>
      <c r="C188" s="9"/>
    </row>
    <row r="189" ht="14.25" customHeight="1">
      <c r="A189" s="1"/>
      <c r="B189" s="1"/>
      <c r="C189" s="9"/>
    </row>
    <row r="190" ht="14.25" customHeight="1">
      <c r="A190" s="1"/>
      <c r="B190" s="1"/>
      <c r="C190" s="9"/>
    </row>
    <row r="191" ht="14.25" customHeight="1">
      <c r="A191" s="1"/>
      <c r="B191" s="1"/>
      <c r="C191" s="9"/>
    </row>
    <row r="192" ht="14.25" customHeight="1">
      <c r="A192" s="1"/>
      <c r="B192" s="1"/>
      <c r="C192" s="9"/>
    </row>
    <row r="193" ht="14.25" customHeight="1">
      <c r="A193" s="1"/>
      <c r="B193" s="1"/>
      <c r="C193" s="9"/>
    </row>
    <row r="194" ht="14.25" customHeight="1">
      <c r="A194" s="1"/>
      <c r="B194" s="1"/>
      <c r="C194" s="9"/>
    </row>
    <row r="195" ht="14.25" customHeight="1">
      <c r="A195" s="1"/>
      <c r="B195" s="1"/>
      <c r="C195" s="9"/>
    </row>
    <row r="196" ht="14.25" customHeight="1">
      <c r="A196" s="1"/>
      <c r="B196" s="1"/>
      <c r="C196" s="9"/>
    </row>
    <row r="197" ht="14.25" customHeight="1">
      <c r="A197" s="1"/>
      <c r="B197" s="1"/>
      <c r="C197" s="9"/>
    </row>
    <row r="198" ht="14.25" customHeight="1">
      <c r="A198" s="1"/>
      <c r="B198" s="1"/>
      <c r="C198" s="9"/>
    </row>
    <row r="199" ht="14.25" customHeight="1">
      <c r="A199" s="1"/>
      <c r="B199" s="1"/>
      <c r="C199" s="9"/>
    </row>
    <row r="200" ht="14.25" customHeight="1">
      <c r="A200" s="1"/>
      <c r="B200" s="1"/>
      <c r="C200" s="9"/>
    </row>
    <row r="201" ht="14.25" customHeight="1">
      <c r="A201" s="1"/>
      <c r="B201" s="1"/>
      <c r="C201" s="9"/>
    </row>
    <row r="202" ht="14.25" customHeight="1">
      <c r="A202" s="1"/>
      <c r="B202" s="1"/>
      <c r="C202" s="9"/>
    </row>
    <row r="203" ht="14.25" customHeight="1">
      <c r="A203" s="1"/>
      <c r="B203" s="1"/>
      <c r="C203" s="9"/>
    </row>
    <row r="204" ht="14.25" customHeight="1">
      <c r="A204" s="1"/>
      <c r="B204" s="1"/>
      <c r="C204" s="9"/>
    </row>
    <row r="205" ht="14.25" customHeight="1">
      <c r="A205" s="1"/>
      <c r="B205" s="1"/>
      <c r="C205" s="9"/>
    </row>
    <row r="206" ht="14.25" customHeight="1">
      <c r="A206" s="1"/>
      <c r="B206" s="1"/>
      <c r="C206" s="9"/>
    </row>
    <row r="207" ht="14.25" customHeight="1">
      <c r="A207" s="1"/>
      <c r="B207" s="1"/>
      <c r="C207" s="9"/>
    </row>
    <row r="208" ht="14.25" customHeight="1">
      <c r="A208" s="1"/>
      <c r="B208" s="1"/>
      <c r="C208" s="9"/>
    </row>
    <row r="209" ht="14.25" customHeight="1">
      <c r="A209" s="1"/>
      <c r="B209" s="1"/>
      <c r="C209" s="9"/>
    </row>
    <row r="210" ht="14.25" customHeight="1">
      <c r="A210" s="1"/>
      <c r="B210" s="1"/>
      <c r="C210" s="9"/>
    </row>
    <row r="211" ht="14.25" customHeight="1">
      <c r="A211" s="1"/>
      <c r="B211" s="1"/>
      <c r="C211" s="9"/>
    </row>
    <row r="212" ht="14.25" customHeight="1">
      <c r="A212" s="1"/>
      <c r="B212" s="1"/>
      <c r="C212" s="9"/>
    </row>
    <row r="213" ht="14.25" customHeight="1">
      <c r="A213" s="1"/>
      <c r="B213" s="1"/>
      <c r="C213" s="9"/>
    </row>
    <row r="214" ht="14.25" customHeight="1">
      <c r="A214" s="1"/>
      <c r="B214" s="1"/>
      <c r="C214" s="9"/>
    </row>
    <row r="215" ht="14.25" customHeight="1">
      <c r="A215" s="1"/>
      <c r="B215" s="1"/>
      <c r="C215" s="9"/>
    </row>
    <row r="216" ht="14.25" customHeight="1">
      <c r="A216" s="1"/>
      <c r="B216" s="1"/>
      <c r="C216" s="9"/>
    </row>
    <row r="217" ht="14.25" customHeight="1">
      <c r="A217" s="1"/>
      <c r="B217" s="1"/>
      <c r="C217" s="9"/>
    </row>
    <row r="218" ht="14.25" customHeight="1">
      <c r="A218" s="1"/>
      <c r="B218" s="1"/>
      <c r="C218" s="9"/>
    </row>
    <row r="219" ht="14.25" customHeight="1">
      <c r="A219" s="1"/>
      <c r="B219" s="1"/>
      <c r="C219" s="9"/>
    </row>
    <row r="220" ht="14.25" customHeight="1">
      <c r="A220" s="1"/>
      <c r="B220" s="1"/>
      <c r="C220" s="9"/>
    </row>
    <row r="221" ht="14.25" customHeight="1">
      <c r="A221" s="1"/>
      <c r="B221" s="1"/>
      <c r="C221" s="9"/>
    </row>
    <row r="222" ht="14.25" customHeight="1">
      <c r="A222" s="1"/>
      <c r="B222" s="1"/>
      <c r="C222" s="9"/>
    </row>
    <row r="223" ht="14.25" customHeight="1">
      <c r="A223" s="1"/>
      <c r="B223" s="1"/>
      <c r="C223" s="9"/>
    </row>
    <row r="224" ht="14.25" customHeight="1">
      <c r="A224" s="1"/>
      <c r="B224" s="1"/>
      <c r="C224" s="9"/>
    </row>
    <row r="225" ht="14.25" customHeight="1">
      <c r="A225" s="1"/>
      <c r="B225" s="1"/>
      <c r="C225" s="9"/>
    </row>
    <row r="226" ht="14.25" customHeight="1">
      <c r="A226" s="1"/>
      <c r="B226" s="1"/>
      <c r="C226" s="9"/>
    </row>
    <row r="227" ht="14.25" customHeight="1">
      <c r="A227" s="1"/>
      <c r="B227" s="1"/>
      <c r="C227" s="9"/>
    </row>
    <row r="228" ht="14.25" customHeight="1">
      <c r="A228" s="1"/>
      <c r="B228" s="1"/>
      <c r="C228" s="9"/>
    </row>
    <row r="229" ht="14.25" customHeight="1">
      <c r="A229" s="1"/>
      <c r="B229" s="1"/>
      <c r="C229" s="9"/>
    </row>
    <row r="230" ht="14.25" customHeight="1">
      <c r="A230" s="1"/>
      <c r="B230" s="1"/>
      <c r="C230" s="9"/>
    </row>
    <row r="231" ht="14.25" customHeight="1">
      <c r="A231" s="1"/>
      <c r="B231" s="1"/>
      <c r="C231" s="9"/>
    </row>
    <row r="232" ht="14.25" customHeight="1">
      <c r="A232" s="1"/>
      <c r="B232" s="1"/>
      <c r="C232" s="9"/>
    </row>
    <row r="233" ht="14.25" customHeight="1">
      <c r="A233" s="1"/>
      <c r="B233" s="1"/>
      <c r="C233" s="9"/>
    </row>
    <row r="234" ht="14.25" customHeight="1">
      <c r="A234" s="1"/>
      <c r="B234" s="1"/>
      <c r="C234" s="9"/>
    </row>
    <row r="235" ht="14.25" customHeight="1">
      <c r="A235" s="1"/>
      <c r="B235" s="1"/>
      <c r="C235" s="9"/>
    </row>
    <row r="236" ht="14.25" customHeight="1">
      <c r="A236" s="1"/>
      <c r="B236" s="1"/>
      <c r="C236" s="9"/>
    </row>
    <row r="237" ht="14.25" customHeight="1">
      <c r="A237" s="1"/>
      <c r="B237" s="1"/>
      <c r="C237" s="9"/>
    </row>
    <row r="238" ht="14.25" customHeight="1">
      <c r="A238" s="1"/>
      <c r="B238" s="1"/>
      <c r="C238" s="9"/>
    </row>
    <row r="239" ht="14.25" customHeight="1">
      <c r="A239" s="1"/>
      <c r="B239" s="1"/>
      <c r="C239" s="9"/>
    </row>
    <row r="240" ht="14.25" customHeight="1">
      <c r="A240" s="1"/>
      <c r="B240" s="1"/>
      <c r="C240" s="9"/>
    </row>
    <row r="241" ht="14.25" customHeight="1">
      <c r="A241" s="1"/>
      <c r="B241" s="1"/>
      <c r="C241" s="9"/>
    </row>
    <row r="242" ht="14.25" customHeight="1">
      <c r="A242" s="1"/>
      <c r="B242" s="1"/>
      <c r="C242" s="9"/>
    </row>
    <row r="243" ht="14.25" customHeight="1">
      <c r="A243" s="1"/>
      <c r="B243" s="1"/>
      <c r="C243" s="9"/>
    </row>
    <row r="244" ht="14.25" customHeight="1">
      <c r="A244" s="1"/>
      <c r="B244" s="1"/>
      <c r="C244" s="9"/>
    </row>
    <row r="245" ht="14.25" customHeight="1">
      <c r="A245" s="1"/>
      <c r="B245" s="1"/>
      <c r="C245" s="9"/>
    </row>
    <row r="246" ht="14.25" customHeight="1">
      <c r="A246" s="1"/>
      <c r="B246" s="1"/>
      <c r="C246" s="9"/>
    </row>
    <row r="247" ht="14.25" customHeight="1">
      <c r="A247" s="1"/>
      <c r="B247" s="1"/>
      <c r="C247" s="9"/>
    </row>
    <row r="248" ht="14.25" customHeight="1">
      <c r="A248" s="1"/>
      <c r="B248" s="1"/>
      <c r="C248" s="9"/>
    </row>
    <row r="249" ht="14.25" customHeight="1">
      <c r="A249" s="1"/>
      <c r="B249" s="1"/>
      <c r="C249" s="9"/>
    </row>
    <row r="250" ht="14.25" customHeight="1">
      <c r="A250" s="1"/>
      <c r="B250" s="1"/>
      <c r="C250" s="9"/>
    </row>
    <row r="251" ht="14.25" customHeight="1">
      <c r="A251" s="1"/>
      <c r="B251" s="1"/>
      <c r="C251" s="9"/>
    </row>
    <row r="252" ht="14.25" customHeight="1">
      <c r="A252" s="1"/>
      <c r="B252" s="1"/>
      <c r="C252" s="9"/>
    </row>
    <row r="253" ht="14.25" customHeight="1">
      <c r="A253" s="1"/>
      <c r="B253" s="1"/>
      <c r="C253" s="9"/>
    </row>
    <row r="254" ht="14.25" customHeight="1">
      <c r="A254" s="1"/>
      <c r="B254" s="1"/>
      <c r="C254" s="9"/>
    </row>
    <row r="255" ht="14.25" customHeight="1">
      <c r="A255" s="1"/>
      <c r="B255" s="1"/>
      <c r="C255" s="9"/>
    </row>
    <row r="256" ht="14.25" customHeight="1">
      <c r="A256" s="1"/>
      <c r="B256" s="1"/>
      <c r="C256" s="9"/>
    </row>
    <row r="257" ht="14.25" customHeight="1">
      <c r="A257" s="1"/>
      <c r="B257" s="1"/>
      <c r="C257" s="9"/>
    </row>
    <row r="258" ht="14.25" customHeight="1">
      <c r="A258" s="1"/>
      <c r="B258" s="1"/>
      <c r="C258" s="9"/>
    </row>
    <row r="259" ht="14.25" customHeight="1">
      <c r="A259" s="1"/>
      <c r="B259" s="1"/>
      <c r="C259" s="9"/>
    </row>
    <row r="260" ht="14.25" customHeight="1">
      <c r="A260" s="1"/>
      <c r="B260" s="1"/>
      <c r="C260" s="9"/>
    </row>
    <row r="261" ht="14.25" customHeight="1">
      <c r="A261" s="1"/>
      <c r="B261" s="1"/>
      <c r="C261" s="9"/>
    </row>
    <row r="262" ht="14.25" customHeight="1">
      <c r="A262" s="1"/>
      <c r="B262" s="1"/>
      <c r="C262" s="9"/>
    </row>
    <row r="263" ht="14.25" customHeight="1">
      <c r="A263" s="1"/>
      <c r="B263" s="1"/>
      <c r="C263" s="9"/>
    </row>
    <row r="264" ht="14.25" customHeight="1">
      <c r="A264" s="1"/>
      <c r="B264" s="1"/>
      <c r="C264" s="9"/>
    </row>
    <row r="265" ht="14.25" customHeight="1">
      <c r="A265" s="1"/>
      <c r="B265" s="1"/>
      <c r="C265" s="9"/>
    </row>
    <row r="266" ht="14.25" customHeight="1">
      <c r="A266" s="1"/>
      <c r="B266" s="1"/>
      <c r="C266" s="9"/>
    </row>
    <row r="267" ht="14.25" customHeight="1">
      <c r="A267" s="1"/>
      <c r="B267" s="1"/>
      <c r="C267" s="9"/>
    </row>
    <row r="268" ht="14.25" customHeight="1">
      <c r="A268" s="1"/>
      <c r="B268" s="1"/>
      <c r="C268" s="9"/>
    </row>
    <row r="269" ht="14.25" customHeight="1">
      <c r="A269" s="1"/>
      <c r="B269" s="1"/>
      <c r="C269" s="9"/>
    </row>
    <row r="270" ht="14.25" customHeight="1">
      <c r="A270" s="1"/>
      <c r="B270" s="1"/>
      <c r="C270" s="9"/>
    </row>
    <row r="271" ht="14.25" customHeight="1">
      <c r="A271" s="1"/>
      <c r="B271" s="1"/>
      <c r="C271" s="9"/>
    </row>
    <row r="272" ht="14.25" customHeight="1">
      <c r="A272" s="1"/>
      <c r="B272" s="1"/>
      <c r="C272" s="9"/>
    </row>
    <row r="273" ht="14.25" customHeight="1">
      <c r="A273" s="1"/>
      <c r="B273" s="1"/>
      <c r="C273" s="9"/>
    </row>
    <row r="274" ht="14.25" customHeight="1">
      <c r="A274" s="1"/>
      <c r="B274" s="1"/>
      <c r="C274" s="9"/>
    </row>
    <row r="275" ht="14.25" customHeight="1">
      <c r="A275" s="1"/>
      <c r="B275" s="1"/>
      <c r="C275" s="9"/>
    </row>
    <row r="276" ht="14.25" customHeight="1">
      <c r="A276" s="1"/>
      <c r="B276" s="1"/>
      <c r="C276" s="9"/>
    </row>
    <row r="277" ht="14.25" customHeight="1">
      <c r="A277" s="1"/>
      <c r="B277" s="1"/>
      <c r="C277" s="9"/>
    </row>
    <row r="278" ht="14.25" customHeight="1">
      <c r="A278" s="1"/>
      <c r="B278" s="1"/>
      <c r="C278" s="9"/>
    </row>
    <row r="279" ht="14.25" customHeight="1">
      <c r="A279" s="1"/>
      <c r="B279" s="1"/>
      <c r="C279" s="9"/>
    </row>
    <row r="280" ht="14.25" customHeight="1">
      <c r="A280" s="1"/>
      <c r="B280" s="1"/>
      <c r="C280" s="9"/>
    </row>
    <row r="281" ht="14.25" customHeight="1">
      <c r="A281" s="1"/>
      <c r="B281" s="1"/>
      <c r="C281" s="9"/>
    </row>
    <row r="282" ht="14.25" customHeight="1">
      <c r="A282" s="1"/>
      <c r="B282" s="1"/>
      <c r="C282" s="9"/>
    </row>
    <row r="283" ht="14.25" customHeight="1">
      <c r="A283" s="1"/>
      <c r="B283" s="1"/>
      <c r="C283" s="9"/>
    </row>
    <row r="284" ht="14.25" customHeight="1">
      <c r="A284" s="1"/>
      <c r="B284" s="1"/>
      <c r="C284" s="9"/>
    </row>
    <row r="285" ht="14.25" customHeight="1">
      <c r="A285" s="1"/>
      <c r="B285" s="1"/>
      <c r="C285" s="9"/>
    </row>
    <row r="286" ht="14.25" customHeight="1">
      <c r="A286" s="1"/>
      <c r="B286" s="1"/>
      <c r="C286" s="9"/>
    </row>
    <row r="287" ht="14.25" customHeight="1">
      <c r="A287" s="1"/>
      <c r="B287" s="1"/>
      <c r="C287" s="9"/>
    </row>
    <row r="288" ht="14.25" customHeight="1">
      <c r="A288" s="1"/>
      <c r="B288" s="1"/>
      <c r="C288" s="9"/>
    </row>
    <row r="289" ht="14.25" customHeight="1">
      <c r="A289" s="1"/>
      <c r="B289" s="1"/>
      <c r="C289" s="9"/>
    </row>
    <row r="290" ht="14.25" customHeight="1">
      <c r="A290" s="1"/>
      <c r="B290" s="1"/>
      <c r="C290" s="9"/>
    </row>
    <row r="291" ht="14.25" customHeight="1">
      <c r="A291" s="1"/>
      <c r="B291" s="1"/>
      <c r="C291" s="9"/>
    </row>
    <row r="292" ht="14.25" customHeight="1">
      <c r="A292" s="1"/>
      <c r="B292" s="1"/>
      <c r="C292" s="9"/>
    </row>
    <row r="293" ht="14.25" customHeight="1">
      <c r="A293" s="1"/>
      <c r="B293" s="1"/>
      <c r="C293" s="9"/>
    </row>
    <row r="294" ht="14.25" customHeight="1">
      <c r="A294" s="1"/>
      <c r="B294" s="1"/>
      <c r="C294" s="9"/>
    </row>
    <row r="295" ht="14.25" customHeight="1">
      <c r="A295" s="1"/>
      <c r="B295" s="1"/>
      <c r="C295" s="9"/>
    </row>
    <row r="296" ht="14.25" customHeight="1">
      <c r="A296" s="1"/>
      <c r="B296" s="1"/>
      <c r="C296" s="9"/>
    </row>
    <row r="297" ht="14.25" customHeight="1">
      <c r="A297" s="1"/>
      <c r="B297" s="1"/>
      <c r="C297" s="9"/>
    </row>
    <row r="298" ht="14.25" customHeight="1">
      <c r="A298" s="1"/>
      <c r="B298" s="1"/>
      <c r="C298" s="9"/>
    </row>
    <row r="299" ht="14.25" customHeight="1">
      <c r="A299" s="1"/>
      <c r="B299" s="1"/>
      <c r="C299" s="9"/>
    </row>
    <row r="300" ht="14.25" customHeight="1">
      <c r="A300" s="1"/>
      <c r="B300" s="1"/>
      <c r="C300" s="9"/>
    </row>
    <row r="301" ht="14.25" customHeight="1">
      <c r="A301" s="1"/>
      <c r="B301" s="1"/>
      <c r="C301" s="9"/>
    </row>
    <row r="302" ht="14.25" customHeight="1">
      <c r="A302" s="1"/>
      <c r="B302" s="1"/>
      <c r="C302" s="9"/>
    </row>
    <row r="303" ht="14.25" customHeight="1">
      <c r="A303" s="1"/>
      <c r="B303" s="1"/>
      <c r="C303" s="9"/>
    </row>
    <row r="304" ht="14.25" customHeight="1">
      <c r="A304" s="1"/>
      <c r="B304" s="1"/>
      <c r="C304" s="9"/>
    </row>
    <row r="305" ht="14.25" customHeight="1">
      <c r="A305" s="1"/>
      <c r="B305" s="1"/>
      <c r="C305" s="9"/>
    </row>
    <row r="306" ht="14.25" customHeight="1">
      <c r="A306" s="1"/>
      <c r="B306" s="1"/>
      <c r="C306" s="9"/>
    </row>
    <row r="307" ht="14.25" customHeight="1">
      <c r="A307" s="1"/>
      <c r="B307" s="1"/>
      <c r="C307" s="9"/>
    </row>
    <row r="308" ht="14.25" customHeight="1">
      <c r="A308" s="1"/>
      <c r="B308" s="1"/>
      <c r="C308" s="9"/>
    </row>
    <row r="309" ht="14.25" customHeight="1">
      <c r="A309" s="1"/>
      <c r="B309" s="1"/>
      <c r="C309" s="9"/>
    </row>
    <row r="310" ht="14.25" customHeight="1">
      <c r="A310" s="1"/>
      <c r="B310" s="1"/>
      <c r="C310" s="9"/>
    </row>
    <row r="311" ht="14.25" customHeight="1">
      <c r="A311" s="1"/>
      <c r="B311" s="1"/>
      <c r="C311" s="9"/>
    </row>
    <row r="312" ht="14.25" customHeight="1">
      <c r="A312" s="1"/>
      <c r="B312" s="1"/>
      <c r="C312" s="9"/>
    </row>
    <row r="313" ht="14.25" customHeight="1">
      <c r="A313" s="1"/>
      <c r="B313" s="1"/>
      <c r="C313" s="9"/>
    </row>
    <row r="314" ht="14.25" customHeight="1">
      <c r="A314" s="1"/>
      <c r="B314" s="1"/>
      <c r="C314" s="9"/>
    </row>
    <row r="315" ht="14.25" customHeight="1">
      <c r="A315" s="1"/>
      <c r="B315" s="1"/>
      <c r="C315" s="9"/>
    </row>
    <row r="316" ht="14.25" customHeight="1">
      <c r="A316" s="1"/>
      <c r="B316" s="1"/>
      <c r="C316" s="9"/>
    </row>
    <row r="317" ht="14.25" customHeight="1">
      <c r="A317" s="1"/>
      <c r="B317" s="1"/>
      <c r="C317" s="9"/>
    </row>
    <row r="318" ht="14.25" customHeight="1">
      <c r="A318" s="1"/>
      <c r="B318" s="1"/>
      <c r="C318" s="9"/>
    </row>
    <row r="319" ht="14.25" customHeight="1">
      <c r="A319" s="1"/>
      <c r="B319" s="1"/>
      <c r="C319" s="9"/>
    </row>
    <row r="320" ht="14.25" customHeight="1">
      <c r="A320" s="1"/>
      <c r="B320" s="1"/>
      <c r="C320" s="9"/>
    </row>
    <row r="321" ht="14.25" customHeight="1">
      <c r="A321" s="1"/>
      <c r="B321" s="1"/>
      <c r="C321" s="9"/>
    </row>
    <row r="322" ht="14.25" customHeight="1">
      <c r="A322" s="1"/>
      <c r="B322" s="1"/>
      <c r="C322" s="9"/>
    </row>
    <row r="323" ht="14.25" customHeight="1">
      <c r="A323" s="1"/>
      <c r="B323" s="1"/>
      <c r="C323" s="9"/>
    </row>
    <row r="324" ht="14.25" customHeight="1">
      <c r="A324" s="1"/>
      <c r="B324" s="1"/>
      <c r="C324" s="9"/>
    </row>
    <row r="325" ht="14.25" customHeight="1">
      <c r="A325" s="1"/>
      <c r="B325" s="1"/>
      <c r="C325" s="9"/>
    </row>
    <row r="326" ht="14.25" customHeight="1">
      <c r="A326" s="1"/>
      <c r="B326" s="1"/>
      <c r="C326" s="9"/>
    </row>
    <row r="327" ht="14.25" customHeight="1">
      <c r="A327" s="1"/>
      <c r="B327" s="1"/>
      <c r="C327" s="9"/>
    </row>
    <row r="328" ht="14.25" customHeight="1">
      <c r="A328" s="1"/>
      <c r="B328" s="1"/>
      <c r="C328" s="9"/>
    </row>
    <row r="329" ht="14.25" customHeight="1">
      <c r="A329" s="1"/>
      <c r="B329" s="1"/>
      <c r="C329" s="9"/>
    </row>
    <row r="330" ht="14.25" customHeight="1">
      <c r="A330" s="1"/>
      <c r="B330" s="1"/>
      <c r="C330" s="9"/>
    </row>
    <row r="331" ht="14.25" customHeight="1">
      <c r="A331" s="1"/>
      <c r="B331" s="1"/>
      <c r="C331" s="9"/>
    </row>
    <row r="332" ht="14.25" customHeight="1">
      <c r="A332" s="1"/>
      <c r="B332" s="1"/>
      <c r="C332" s="9"/>
    </row>
    <row r="333" ht="14.25" customHeight="1">
      <c r="A333" s="1"/>
      <c r="B333" s="1"/>
      <c r="C333" s="9"/>
    </row>
    <row r="334" ht="14.25" customHeight="1">
      <c r="A334" s="1"/>
      <c r="B334" s="1"/>
      <c r="C334" s="9"/>
    </row>
    <row r="335" ht="14.25" customHeight="1">
      <c r="A335" s="1"/>
      <c r="B335" s="1"/>
      <c r="C335" s="9"/>
    </row>
    <row r="336" ht="14.25" customHeight="1">
      <c r="A336" s="1"/>
      <c r="B336" s="1"/>
      <c r="C336" s="9"/>
    </row>
    <row r="337" ht="14.25" customHeight="1">
      <c r="A337" s="1"/>
      <c r="B337" s="1"/>
      <c r="C337" s="9"/>
    </row>
    <row r="338" ht="14.25" customHeight="1">
      <c r="A338" s="1"/>
      <c r="B338" s="1"/>
      <c r="C338" s="9"/>
    </row>
    <row r="339" ht="14.25" customHeight="1">
      <c r="A339" s="1"/>
      <c r="B339" s="1"/>
      <c r="C339" s="9"/>
    </row>
    <row r="340" ht="14.25" customHeight="1">
      <c r="A340" s="1"/>
      <c r="B340" s="1"/>
      <c r="C340" s="9"/>
    </row>
    <row r="341" ht="14.25" customHeight="1">
      <c r="A341" s="1"/>
      <c r="B341" s="1"/>
      <c r="C341" s="9"/>
    </row>
    <row r="342" ht="14.25" customHeight="1">
      <c r="A342" s="1"/>
      <c r="B342" s="1"/>
      <c r="C342" s="9"/>
    </row>
    <row r="343" ht="14.25" customHeight="1">
      <c r="A343" s="1"/>
      <c r="B343" s="1"/>
      <c r="C343" s="9"/>
    </row>
    <row r="344" ht="14.25" customHeight="1">
      <c r="A344" s="1"/>
      <c r="B344" s="1"/>
      <c r="C344" s="9"/>
    </row>
    <row r="345" ht="14.25" customHeight="1">
      <c r="A345" s="1"/>
      <c r="B345" s="1"/>
      <c r="C345" s="9"/>
    </row>
    <row r="346" ht="14.25" customHeight="1">
      <c r="A346" s="1"/>
      <c r="B346" s="1"/>
      <c r="C346" s="9"/>
    </row>
    <row r="347" ht="14.25" customHeight="1">
      <c r="A347" s="1"/>
      <c r="B347" s="1"/>
      <c r="C347" s="9"/>
    </row>
    <row r="348" ht="14.25" customHeight="1">
      <c r="A348" s="1"/>
      <c r="B348" s="1"/>
      <c r="C348" s="9"/>
    </row>
    <row r="349" ht="14.25" customHeight="1">
      <c r="A349" s="1"/>
      <c r="B349" s="1"/>
      <c r="C349" s="9"/>
    </row>
    <row r="350" ht="14.25" customHeight="1">
      <c r="A350" s="1"/>
      <c r="B350" s="1"/>
      <c r="C350" s="9"/>
    </row>
    <row r="351" ht="14.25" customHeight="1">
      <c r="A351" s="1"/>
      <c r="B351" s="1"/>
      <c r="C351" s="9"/>
    </row>
    <row r="352" ht="14.25" customHeight="1">
      <c r="A352" s="1"/>
      <c r="B352" s="1"/>
      <c r="C352" s="9"/>
    </row>
    <row r="353" ht="14.25" customHeight="1">
      <c r="A353" s="1"/>
      <c r="B353" s="1"/>
      <c r="C353" s="9"/>
    </row>
    <row r="354" ht="14.25" customHeight="1">
      <c r="A354" s="1"/>
      <c r="B354" s="1"/>
      <c r="C354" s="9"/>
    </row>
    <row r="355" ht="14.25" customHeight="1">
      <c r="A355" s="1"/>
      <c r="B355" s="1"/>
      <c r="C355" s="9"/>
    </row>
    <row r="356" ht="14.25" customHeight="1">
      <c r="A356" s="1"/>
      <c r="B356" s="1"/>
      <c r="C356" s="9"/>
    </row>
    <row r="357" ht="14.25" customHeight="1">
      <c r="A357" s="1"/>
      <c r="B357" s="1"/>
      <c r="C357" s="9"/>
    </row>
    <row r="358" ht="14.25" customHeight="1">
      <c r="A358" s="1"/>
      <c r="B358" s="1"/>
      <c r="C358" s="9"/>
    </row>
    <row r="359" ht="14.25" customHeight="1">
      <c r="A359" s="1"/>
      <c r="B359" s="1"/>
      <c r="C359" s="9"/>
    </row>
    <row r="360" ht="14.25" customHeight="1">
      <c r="A360" s="1"/>
      <c r="B360" s="1"/>
      <c r="C360" s="9"/>
    </row>
    <row r="361" ht="14.25" customHeight="1">
      <c r="A361" s="1"/>
      <c r="B361" s="1"/>
      <c r="C361" s="9"/>
    </row>
    <row r="362" ht="14.25" customHeight="1">
      <c r="A362" s="1"/>
      <c r="B362" s="1"/>
      <c r="C362" s="9"/>
    </row>
    <row r="363" ht="14.25" customHeight="1">
      <c r="A363" s="1"/>
      <c r="B363" s="1"/>
      <c r="C363" s="9"/>
    </row>
    <row r="364" ht="14.25" customHeight="1">
      <c r="A364" s="1"/>
      <c r="B364" s="1"/>
      <c r="C364" s="9"/>
    </row>
    <row r="365" ht="14.25" customHeight="1">
      <c r="A365" s="1"/>
      <c r="B365" s="1"/>
      <c r="C365" s="9"/>
    </row>
    <row r="366" ht="14.25" customHeight="1">
      <c r="A366" s="1"/>
      <c r="B366" s="1"/>
      <c r="C366" s="9"/>
    </row>
    <row r="367" ht="14.25" customHeight="1">
      <c r="A367" s="1"/>
      <c r="B367" s="1"/>
      <c r="C367" s="9"/>
    </row>
    <row r="368" ht="14.25" customHeight="1">
      <c r="A368" s="1"/>
      <c r="B368" s="1"/>
      <c r="C368" s="9"/>
    </row>
    <row r="369" ht="14.25" customHeight="1">
      <c r="A369" s="1"/>
      <c r="B369" s="1"/>
      <c r="C369" s="9"/>
    </row>
    <row r="370" ht="14.25" customHeight="1">
      <c r="A370" s="1"/>
      <c r="B370" s="1"/>
      <c r="C370" s="9"/>
    </row>
    <row r="371" ht="14.25" customHeight="1">
      <c r="A371" s="1"/>
      <c r="B371" s="1"/>
      <c r="C371" s="9"/>
    </row>
    <row r="372" ht="14.25" customHeight="1">
      <c r="A372" s="1"/>
      <c r="B372" s="1"/>
      <c r="C372" s="9"/>
    </row>
    <row r="373" ht="14.25" customHeight="1">
      <c r="A373" s="1"/>
      <c r="B373" s="1"/>
      <c r="C373" s="9"/>
    </row>
    <row r="374" ht="14.25" customHeight="1">
      <c r="A374" s="1"/>
      <c r="B374" s="1"/>
      <c r="C374" s="9"/>
    </row>
    <row r="375" ht="14.25" customHeight="1">
      <c r="A375" s="1"/>
      <c r="B375" s="1"/>
      <c r="C375" s="9"/>
    </row>
    <row r="376" ht="14.25" customHeight="1">
      <c r="A376" s="1"/>
      <c r="B376" s="1"/>
      <c r="C376" s="9"/>
    </row>
    <row r="377" ht="14.25" customHeight="1">
      <c r="A377" s="1"/>
      <c r="B377" s="1"/>
      <c r="C377" s="9"/>
    </row>
    <row r="378" ht="14.25" customHeight="1">
      <c r="A378" s="1"/>
      <c r="B378" s="1"/>
      <c r="C378" s="9"/>
    </row>
    <row r="379" ht="14.25" customHeight="1">
      <c r="A379" s="1"/>
      <c r="B379" s="1"/>
      <c r="C379" s="9"/>
    </row>
    <row r="380" ht="14.25" customHeight="1">
      <c r="A380" s="1"/>
      <c r="B380" s="1"/>
      <c r="C380" s="9"/>
    </row>
    <row r="381" ht="14.25" customHeight="1">
      <c r="A381" s="1"/>
      <c r="B381" s="1"/>
      <c r="C381" s="9"/>
    </row>
    <row r="382" ht="14.25" customHeight="1">
      <c r="A382" s="1"/>
      <c r="B382" s="1"/>
      <c r="C382" s="9"/>
    </row>
    <row r="383" ht="14.25" customHeight="1">
      <c r="A383" s="1"/>
      <c r="B383" s="1"/>
      <c r="C383" s="9"/>
    </row>
    <row r="384" ht="14.25" customHeight="1">
      <c r="A384" s="1"/>
      <c r="B384" s="1"/>
      <c r="C384" s="9"/>
    </row>
    <row r="385" ht="14.25" customHeight="1">
      <c r="A385" s="1"/>
      <c r="B385" s="1"/>
      <c r="C385" s="9"/>
    </row>
    <row r="386" ht="14.25" customHeight="1">
      <c r="A386" s="1"/>
      <c r="B386" s="1"/>
      <c r="C386" s="9"/>
    </row>
    <row r="387" ht="14.25" customHeight="1">
      <c r="A387" s="1"/>
      <c r="B387" s="1"/>
      <c r="C387" s="9"/>
    </row>
    <row r="388" ht="14.25" customHeight="1">
      <c r="A388" s="1"/>
      <c r="B388" s="1"/>
      <c r="C388" s="9"/>
    </row>
    <row r="389" ht="14.25" customHeight="1">
      <c r="A389" s="1"/>
      <c r="B389" s="1"/>
      <c r="C389" s="9"/>
    </row>
    <row r="390" ht="14.25" customHeight="1">
      <c r="A390" s="1"/>
      <c r="B390" s="1"/>
      <c r="C390" s="9"/>
    </row>
    <row r="391" ht="14.25" customHeight="1">
      <c r="A391" s="1"/>
      <c r="B391" s="1"/>
      <c r="C391" s="9"/>
    </row>
    <row r="392" ht="14.25" customHeight="1">
      <c r="A392" s="1"/>
      <c r="B392" s="1"/>
      <c r="C392" s="9"/>
    </row>
    <row r="393" ht="14.25" customHeight="1">
      <c r="A393" s="1"/>
      <c r="B393" s="1"/>
      <c r="C393" s="9"/>
    </row>
    <row r="394" ht="14.25" customHeight="1">
      <c r="A394" s="1"/>
      <c r="B394" s="1"/>
      <c r="C394" s="9"/>
    </row>
    <row r="395" ht="14.25" customHeight="1">
      <c r="A395" s="1"/>
      <c r="B395" s="1"/>
      <c r="C395" s="9"/>
    </row>
    <row r="396" ht="14.25" customHeight="1">
      <c r="A396" s="1"/>
      <c r="B396" s="1"/>
      <c r="C396" s="9"/>
    </row>
    <row r="397" ht="14.25" customHeight="1">
      <c r="A397" s="1"/>
      <c r="B397" s="1"/>
      <c r="C397" s="9"/>
    </row>
    <row r="398" ht="14.25" customHeight="1">
      <c r="A398" s="1"/>
      <c r="B398" s="1"/>
      <c r="C398" s="9"/>
    </row>
    <row r="399" ht="14.25" customHeight="1">
      <c r="A399" s="1"/>
      <c r="B399" s="1"/>
      <c r="C399" s="9"/>
    </row>
    <row r="400" ht="14.25" customHeight="1">
      <c r="A400" s="1"/>
      <c r="B400" s="1"/>
      <c r="C400" s="9"/>
    </row>
    <row r="401" ht="14.25" customHeight="1">
      <c r="A401" s="1"/>
      <c r="B401" s="1"/>
      <c r="C401" s="9"/>
    </row>
    <row r="402" ht="14.25" customHeight="1">
      <c r="A402" s="1"/>
      <c r="B402" s="1"/>
      <c r="C402" s="9"/>
    </row>
    <row r="403" ht="14.25" customHeight="1">
      <c r="A403" s="1"/>
      <c r="B403" s="1"/>
      <c r="C403" s="9"/>
    </row>
    <row r="404" ht="14.25" customHeight="1">
      <c r="A404" s="1"/>
      <c r="B404" s="1"/>
      <c r="C404" s="9"/>
    </row>
    <row r="405" ht="14.25" customHeight="1">
      <c r="A405" s="1"/>
      <c r="B405" s="1"/>
      <c r="C405" s="9"/>
    </row>
    <row r="406" ht="14.25" customHeight="1">
      <c r="A406" s="1"/>
      <c r="B406" s="1"/>
      <c r="C406" s="9"/>
    </row>
    <row r="407" ht="14.25" customHeight="1">
      <c r="A407" s="1"/>
      <c r="B407" s="1"/>
      <c r="C407" s="9"/>
    </row>
    <row r="408" ht="14.25" customHeight="1">
      <c r="A408" s="1"/>
      <c r="B408" s="1"/>
      <c r="C408" s="9"/>
    </row>
    <row r="409" ht="14.25" customHeight="1">
      <c r="A409" s="1"/>
      <c r="B409" s="1"/>
      <c r="C409" s="9"/>
    </row>
    <row r="410" ht="14.25" customHeight="1">
      <c r="A410" s="1"/>
      <c r="B410" s="1"/>
      <c r="C410" s="9"/>
    </row>
    <row r="411" ht="14.25" customHeight="1">
      <c r="A411" s="1"/>
      <c r="B411" s="1"/>
      <c r="C411" s="9"/>
    </row>
    <row r="412" ht="14.25" customHeight="1">
      <c r="A412" s="1"/>
      <c r="B412" s="1"/>
      <c r="C412" s="9"/>
    </row>
    <row r="413" ht="14.25" customHeight="1">
      <c r="A413" s="1"/>
      <c r="B413" s="1"/>
      <c r="C413" s="9"/>
    </row>
    <row r="414" ht="14.25" customHeight="1">
      <c r="A414" s="1"/>
      <c r="B414" s="1"/>
      <c r="C414" s="9"/>
    </row>
    <row r="415" ht="14.25" customHeight="1">
      <c r="A415" s="1"/>
      <c r="B415" s="1"/>
      <c r="C415" s="9"/>
    </row>
    <row r="416" ht="14.25" customHeight="1">
      <c r="A416" s="1"/>
      <c r="B416" s="1"/>
      <c r="C416" s="9"/>
    </row>
    <row r="417" ht="14.25" customHeight="1">
      <c r="A417" s="1"/>
      <c r="B417" s="1"/>
      <c r="C417" s="9"/>
    </row>
    <row r="418" ht="14.25" customHeight="1">
      <c r="A418" s="1"/>
      <c r="B418" s="1"/>
      <c r="C418" s="9"/>
    </row>
    <row r="419" ht="14.25" customHeight="1">
      <c r="A419" s="1"/>
      <c r="B419" s="1"/>
      <c r="C419" s="9"/>
    </row>
    <row r="420" ht="14.25" customHeight="1">
      <c r="A420" s="1"/>
      <c r="B420" s="1"/>
      <c r="C420" s="9"/>
    </row>
    <row r="421" ht="14.25" customHeight="1">
      <c r="A421" s="1"/>
      <c r="B421" s="1"/>
      <c r="C421" s="9"/>
    </row>
    <row r="422" ht="14.25" customHeight="1">
      <c r="A422" s="1"/>
      <c r="B422" s="1"/>
      <c r="C422" s="9"/>
    </row>
    <row r="423" ht="14.25" customHeight="1">
      <c r="A423" s="1"/>
      <c r="B423" s="1"/>
      <c r="C423" s="9"/>
    </row>
    <row r="424" ht="14.25" customHeight="1">
      <c r="A424" s="1"/>
      <c r="B424" s="1"/>
      <c r="C424" s="9"/>
    </row>
    <row r="425" ht="14.25" customHeight="1">
      <c r="A425" s="1"/>
      <c r="B425" s="1"/>
      <c r="C425" s="9"/>
    </row>
    <row r="426" ht="14.25" customHeight="1">
      <c r="A426" s="1"/>
      <c r="B426" s="1"/>
      <c r="C426" s="9"/>
    </row>
    <row r="427" ht="14.25" customHeight="1">
      <c r="A427" s="1"/>
      <c r="B427" s="1"/>
      <c r="C427" s="9"/>
    </row>
    <row r="428" ht="14.25" customHeight="1">
      <c r="A428" s="1"/>
      <c r="B428" s="1"/>
      <c r="C428" s="9"/>
    </row>
    <row r="429" ht="14.25" customHeight="1">
      <c r="A429" s="1"/>
      <c r="B429" s="1"/>
      <c r="C429" s="9"/>
    </row>
    <row r="430" ht="14.25" customHeight="1">
      <c r="A430" s="1"/>
      <c r="B430" s="1"/>
      <c r="C430" s="9"/>
    </row>
    <row r="431" ht="14.25" customHeight="1">
      <c r="A431" s="1"/>
      <c r="B431" s="1"/>
      <c r="C431" s="9"/>
    </row>
    <row r="432" ht="14.25" customHeight="1">
      <c r="A432" s="1"/>
      <c r="B432" s="1"/>
      <c r="C432" s="9"/>
    </row>
    <row r="433" ht="14.25" customHeight="1">
      <c r="A433" s="1"/>
      <c r="B433" s="1"/>
      <c r="C433" s="9"/>
    </row>
    <row r="434" ht="14.25" customHeight="1">
      <c r="A434" s="1"/>
      <c r="B434" s="1"/>
      <c r="C434" s="9"/>
    </row>
    <row r="435" ht="14.25" customHeight="1">
      <c r="A435" s="1"/>
      <c r="B435" s="1"/>
      <c r="C435" s="9"/>
    </row>
    <row r="436" ht="14.25" customHeight="1">
      <c r="A436" s="1"/>
      <c r="B436" s="1"/>
      <c r="C436" s="9"/>
    </row>
    <row r="437" ht="14.25" customHeight="1">
      <c r="A437" s="1"/>
      <c r="B437" s="1"/>
      <c r="C437" s="9"/>
    </row>
    <row r="438" ht="14.25" customHeight="1">
      <c r="A438" s="1"/>
      <c r="B438" s="1"/>
      <c r="C438" s="9"/>
    </row>
    <row r="439" ht="14.25" customHeight="1">
      <c r="A439" s="1"/>
      <c r="B439" s="1"/>
      <c r="C439" s="9"/>
    </row>
    <row r="440" ht="14.25" customHeight="1">
      <c r="A440" s="1"/>
      <c r="B440" s="1"/>
      <c r="C440" s="9"/>
    </row>
    <row r="441" ht="14.25" customHeight="1">
      <c r="A441" s="1"/>
      <c r="B441" s="1"/>
      <c r="C441" s="9"/>
    </row>
    <row r="442" ht="14.25" customHeight="1">
      <c r="A442" s="1"/>
      <c r="B442" s="1"/>
      <c r="C442" s="9"/>
    </row>
    <row r="443" ht="14.25" customHeight="1">
      <c r="A443" s="1"/>
      <c r="B443" s="1"/>
      <c r="C443" s="9"/>
    </row>
    <row r="444" ht="14.25" customHeight="1">
      <c r="A444" s="1"/>
      <c r="B444" s="1"/>
      <c r="C444" s="9"/>
    </row>
    <row r="445" ht="14.25" customHeight="1">
      <c r="A445" s="1"/>
      <c r="B445" s="1"/>
      <c r="C445" s="9"/>
    </row>
    <row r="446" ht="14.25" customHeight="1">
      <c r="A446" s="1"/>
      <c r="B446" s="1"/>
      <c r="C446" s="9"/>
    </row>
    <row r="447" ht="14.25" customHeight="1">
      <c r="A447" s="1"/>
      <c r="B447" s="1"/>
      <c r="C447" s="9"/>
    </row>
    <row r="448" ht="14.25" customHeight="1">
      <c r="A448" s="1"/>
      <c r="B448" s="1"/>
      <c r="C448" s="9"/>
    </row>
    <row r="449" ht="14.25" customHeight="1">
      <c r="A449" s="1"/>
      <c r="B449" s="1"/>
      <c r="C449" s="9"/>
    </row>
    <row r="450" ht="14.25" customHeight="1">
      <c r="A450" s="1"/>
      <c r="B450" s="1"/>
      <c r="C450" s="9"/>
    </row>
    <row r="451" ht="14.25" customHeight="1">
      <c r="A451" s="1"/>
      <c r="B451" s="1"/>
      <c r="C451" s="9"/>
    </row>
    <row r="452" ht="14.25" customHeight="1">
      <c r="A452" s="1"/>
      <c r="B452" s="1"/>
      <c r="C452" s="9"/>
    </row>
    <row r="453" ht="14.25" customHeight="1">
      <c r="A453" s="1"/>
      <c r="B453" s="1"/>
      <c r="C453" s="9"/>
    </row>
    <row r="454" ht="14.25" customHeight="1">
      <c r="A454" s="1"/>
      <c r="B454" s="1"/>
      <c r="C454" s="9"/>
    </row>
    <row r="455" ht="14.25" customHeight="1">
      <c r="A455" s="1"/>
      <c r="B455" s="1"/>
      <c r="C455" s="9"/>
    </row>
    <row r="456" ht="14.25" customHeight="1">
      <c r="A456" s="1"/>
      <c r="B456" s="1"/>
      <c r="C456" s="9"/>
    </row>
    <row r="457" ht="14.25" customHeight="1">
      <c r="A457" s="1"/>
      <c r="B457" s="1"/>
      <c r="C457" s="9"/>
    </row>
    <row r="458" ht="14.25" customHeight="1">
      <c r="A458" s="1"/>
      <c r="B458" s="1"/>
      <c r="C458" s="9"/>
    </row>
    <row r="459" ht="14.25" customHeight="1">
      <c r="A459" s="1"/>
      <c r="B459" s="1"/>
      <c r="C459" s="9"/>
    </row>
    <row r="460" ht="14.25" customHeight="1">
      <c r="A460" s="1"/>
      <c r="B460" s="1"/>
      <c r="C460" s="9"/>
    </row>
    <row r="461" ht="14.25" customHeight="1">
      <c r="A461" s="1"/>
      <c r="B461" s="1"/>
      <c r="C461" s="9"/>
    </row>
    <row r="462" ht="14.25" customHeight="1">
      <c r="A462" s="1"/>
      <c r="B462" s="1"/>
      <c r="C462" s="9"/>
    </row>
    <row r="463" ht="14.25" customHeight="1">
      <c r="A463" s="1"/>
      <c r="B463" s="1"/>
      <c r="C463" s="9"/>
    </row>
    <row r="464" ht="14.25" customHeight="1">
      <c r="A464" s="1"/>
      <c r="B464" s="1"/>
      <c r="C464" s="9"/>
    </row>
    <row r="465" ht="14.25" customHeight="1">
      <c r="A465" s="1"/>
      <c r="B465" s="1"/>
      <c r="C465" s="9"/>
    </row>
    <row r="466" ht="14.25" customHeight="1">
      <c r="A466" s="1"/>
      <c r="B466" s="1"/>
      <c r="C466" s="9"/>
    </row>
    <row r="467" ht="14.25" customHeight="1">
      <c r="A467" s="1"/>
      <c r="B467" s="1"/>
      <c r="C467" s="9"/>
    </row>
    <row r="468" ht="14.25" customHeight="1">
      <c r="A468" s="1"/>
      <c r="B468" s="1"/>
      <c r="C468" s="9"/>
    </row>
    <row r="469" ht="14.25" customHeight="1">
      <c r="A469" s="1"/>
      <c r="B469" s="1"/>
      <c r="C469" s="9"/>
    </row>
    <row r="470" ht="14.25" customHeight="1">
      <c r="A470" s="1"/>
      <c r="B470" s="1"/>
      <c r="C470" s="9"/>
    </row>
    <row r="471" ht="14.25" customHeight="1">
      <c r="A471" s="1"/>
      <c r="B471" s="1"/>
      <c r="C471" s="9"/>
    </row>
    <row r="472" ht="14.25" customHeight="1">
      <c r="A472" s="1"/>
      <c r="B472" s="1"/>
      <c r="C472" s="9"/>
    </row>
    <row r="473" ht="14.25" customHeight="1">
      <c r="A473" s="1"/>
      <c r="B473" s="1"/>
      <c r="C473" s="9"/>
    </row>
    <row r="474" ht="14.25" customHeight="1">
      <c r="A474" s="1"/>
      <c r="B474" s="1"/>
      <c r="C474" s="9"/>
    </row>
    <row r="475" ht="14.25" customHeight="1">
      <c r="A475" s="1"/>
      <c r="B475" s="1"/>
      <c r="C475" s="9"/>
    </row>
    <row r="476" ht="14.25" customHeight="1">
      <c r="A476" s="1"/>
      <c r="B476" s="1"/>
      <c r="C476" s="9"/>
    </row>
    <row r="477" ht="14.25" customHeight="1">
      <c r="A477" s="1"/>
      <c r="B477" s="1"/>
      <c r="C477" s="9"/>
    </row>
    <row r="478" ht="14.25" customHeight="1">
      <c r="A478" s="1"/>
      <c r="B478" s="1"/>
      <c r="C478" s="9"/>
    </row>
    <row r="479" ht="14.25" customHeight="1">
      <c r="A479" s="1"/>
      <c r="B479" s="1"/>
      <c r="C479" s="9"/>
    </row>
    <row r="480" ht="14.25" customHeight="1">
      <c r="A480" s="1"/>
      <c r="B480" s="1"/>
      <c r="C480" s="9"/>
    </row>
    <row r="481" ht="14.25" customHeight="1">
      <c r="A481" s="1"/>
      <c r="B481" s="1"/>
      <c r="C481" s="9"/>
    </row>
    <row r="482" ht="14.25" customHeight="1">
      <c r="A482" s="1"/>
      <c r="B482" s="1"/>
      <c r="C482" s="9"/>
    </row>
    <row r="483" ht="14.25" customHeight="1">
      <c r="A483" s="1"/>
      <c r="B483" s="1"/>
      <c r="C483" s="9"/>
    </row>
    <row r="484" ht="14.25" customHeight="1">
      <c r="A484" s="1"/>
      <c r="B484" s="1"/>
      <c r="C484" s="9"/>
    </row>
    <row r="485" ht="14.25" customHeight="1">
      <c r="A485" s="1"/>
      <c r="B485" s="1"/>
      <c r="C485" s="9"/>
    </row>
    <row r="486" ht="14.25" customHeight="1">
      <c r="A486" s="1"/>
      <c r="B486" s="1"/>
      <c r="C486" s="9"/>
    </row>
    <row r="487" ht="14.25" customHeight="1">
      <c r="A487" s="1"/>
      <c r="B487" s="1"/>
      <c r="C487" s="9"/>
    </row>
    <row r="488" ht="14.25" customHeight="1">
      <c r="A488" s="1"/>
      <c r="B488" s="1"/>
      <c r="C488" s="9"/>
    </row>
    <row r="489" ht="14.25" customHeight="1">
      <c r="A489" s="1"/>
      <c r="B489" s="1"/>
      <c r="C489" s="9"/>
    </row>
    <row r="490" ht="14.25" customHeight="1">
      <c r="A490" s="1"/>
      <c r="B490" s="1"/>
      <c r="C490" s="9"/>
    </row>
    <row r="491" ht="14.25" customHeight="1">
      <c r="A491" s="1"/>
      <c r="B491" s="1"/>
      <c r="C491" s="9"/>
    </row>
    <row r="492" ht="14.25" customHeight="1">
      <c r="A492" s="1"/>
      <c r="B492" s="1"/>
      <c r="C492" s="9"/>
    </row>
    <row r="493" ht="14.25" customHeight="1">
      <c r="A493" s="1"/>
      <c r="B493" s="1"/>
      <c r="C493" s="9"/>
    </row>
    <row r="494" ht="14.25" customHeight="1">
      <c r="A494" s="1"/>
      <c r="B494" s="1"/>
      <c r="C494" s="9"/>
    </row>
    <row r="495" ht="14.25" customHeight="1">
      <c r="A495" s="1"/>
      <c r="B495" s="1"/>
      <c r="C495" s="9"/>
    </row>
    <row r="496" ht="14.25" customHeight="1">
      <c r="A496" s="1"/>
      <c r="B496" s="1"/>
      <c r="C496" s="9"/>
    </row>
    <row r="497" ht="14.25" customHeight="1">
      <c r="A497" s="1"/>
      <c r="B497" s="1"/>
      <c r="C497" s="9"/>
    </row>
    <row r="498" ht="14.25" customHeight="1">
      <c r="A498" s="1"/>
      <c r="B498" s="1"/>
      <c r="C498" s="9"/>
    </row>
    <row r="499" ht="14.25" customHeight="1">
      <c r="A499" s="1"/>
      <c r="B499" s="1"/>
      <c r="C499" s="9"/>
    </row>
    <row r="500" ht="14.25" customHeight="1">
      <c r="A500" s="1"/>
      <c r="B500" s="1"/>
      <c r="C500" s="9"/>
    </row>
    <row r="501" ht="14.25" customHeight="1">
      <c r="A501" s="1"/>
      <c r="B501" s="1"/>
      <c r="C501" s="9"/>
    </row>
    <row r="502" ht="14.25" customHeight="1">
      <c r="A502" s="1"/>
      <c r="B502" s="1"/>
      <c r="C502" s="9"/>
    </row>
    <row r="503" ht="14.25" customHeight="1">
      <c r="A503" s="1"/>
      <c r="B503" s="1"/>
      <c r="C503" s="9"/>
    </row>
    <row r="504" ht="14.25" customHeight="1">
      <c r="A504" s="1"/>
      <c r="B504" s="1"/>
      <c r="C504" s="9"/>
    </row>
    <row r="505" ht="14.25" customHeight="1">
      <c r="A505" s="1"/>
      <c r="B505" s="1"/>
      <c r="C505" s="9"/>
    </row>
    <row r="506" ht="14.25" customHeight="1">
      <c r="A506" s="1"/>
      <c r="B506" s="1"/>
      <c r="C506" s="9"/>
    </row>
    <row r="507" ht="14.25" customHeight="1">
      <c r="A507" s="1"/>
      <c r="B507" s="1"/>
      <c r="C507" s="9"/>
    </row>
    <row r="508" ht="14.25" customHeight="1">
      <c r="A508" s="1"/>
      <c r="B508" s="1"/>
      <c r="C508" s="9"/>
    </row>
    <row r="509" ht="14.25" customHeight="1">
      <c r="A509" s="1"/>
      <c r="B509" s="1"/>
      <c r="C509" s="9"/>
    </row>
    <row r="510" ht="14.25" customHeight="1">
      <c r="A510" s="1"/>
      <c r="B510" s="1"/>
      <c r="C510" s="9"/>
    </row>
    <row r="511" ht="14.25" customHeight="1">
      <c r="A511" s="1"/>
      <c r="B511" s="1"/>
      <c r="C511" s="9"/>
    </row>
    <row r="512" ht="14.25" customHeight="1">
      <c r="A512" s="1"/>
      <c r="B512" s="1"/>
      <c r="C512" s="9"/>
    </row>
    <row r="513" ht="14.25" customHeight="1">
      <c r="A513" s="1"/>
      <c r="B513" s="1"/>
      <c r="C513" s="9"/>
    </row>
    <row r="514" ht="14.25" customHeight="1">
      <c r="A514" s="1"/>
      <c r="B514" s="1"/>
      <c r="C514" s="9"/>
    </row>
    <row r="515" ht="14.25" customHeight="1">
      <c r="A515" s="1"/>
      <c r="B515" s="1"/>
      <c r="C515" s="9"/>
    </row>
    <row r="516" ht="14.25" customHeight="1">
      <c r="A516" s="1"/>
      <c r="B516" s="1"/>
      <c r="C516" s="9"/>
    </row>
    <row r="517" ht="14.25" customHeight="1">
      <c r="A517" s="1"/>
      <c r="B517" s="1"/>
      <c r="C517" s="9"/>
    </row>
    <row r="518" ht="14.25" customHeight="1">
      <c r="A518" s="1"/>
      <c r="B518" s="1"/>
      <c r="C518" s="9"/>
    </row>
    <row r="519" ht="14.25" customHeight="1">
      <c r="A519" s="1"/>
      <c r="B519" s="1"/>
      <c r="C519" s="9"/>
    </row>
    <row r="520" ht="14.25" customHeight="1">
      <c r="A520" s="1"/>
      <c r="B520" s="1"/>
      <c r="C520" s="9"/>
    </row>
    <row r="521" ht="14.25" customHeight="1">
      <c r="A521" s="1"/>
      <c r="B521" s="1"/>
      <c r="C521" s="9"/>
    </row>
    <row r="522" ht="14.25" customHeight="1">
      <c r="A522" s="1"/>
      <c r="B522" s="1"/>
      <c r="C522" s="9"/>
    </row>
    <row r="523" ht="14.25" customHeight="1">
      <c r="A523" s="1"/>
      <c r="B523" s="1"/>
      <c r="C523" s="9"/>
    </row>
    <row r="524" ht="14.25" customHeight="1">
      <c r="A524" s="1"/>
      <c r="B524" s="1"/>
      <c r="C524" s="9"/>
    </row>
    <row r="525" ht="14.25" customHeight="1">
      <c r="A525" s="1"/>
      <c r="B525" s="1"/>
      <c r="C525" s="9"/>
    </row>
    <row r="526" ht="14.25" customHeight="1">
      <c r="A526" s="1"/>
      <c r="B526" s="1"/>
      <c r="C526" s="9"/>
    </row>
    <row r="527" ht="14.25" customHeight="1">
      <c r="A527" s="1"/>
      <c r="B527" s="1"/>
      <c r="C527" s="9"/>
    </row>
    <row r="528" ht="14.25" customHeight="1">
      <c r="A528" s="1"/>
      <c r="B528" s="1"/>
      <c r="C528" s="9"/>
    </row>
    <row r="529" ht="14.25" customHeight="1">
      <c r="A529" s="1"/>
      <c r="B529" s="1"/>
      <c r="C529" s="9"/>
    </row>
    <row r="530" ht="14.25" customHeight="1">
      <c r="A530" s="1"/>
      <c r="B530" s="1"/>
      <c r="C530" s="9"/>
    </row>
    <row r="531" ht="14.25" customHeight="1">
      <c r="A531" s="1"/>
      <c r="B531" s="1"/>
      <c r="C531" s="9"/>
    </row>
    <row r="532" ht="14.25" customHeight="1">
      <c r="A532" s="1"/>
      <c r="B532" s="1"/>
      <c r="C532" s="9"/>
    </row>
    <row r="533" ht="14.25" customHeight="1">
      <c r="A533" s="1"/>
      <c r="B533" s="1"/>
      <c r="C533" s="9"/>
    </row>
    <row r="534" ht="14.25" customHeight="1">
      <c r="A534" s="1"/>
      <c r="B534" s="1"/>
      <c r="C534" s="9"/>
    </row>
    <row r="535" ht="14.25" customHeight="1">
      <c r="A535" s="1"/>
      <c r="B535" s="1"/>
      <c r="C535" s="9"/>
    </row>
    <row r="536" ht="14.25" customHeight="1">
      <c r="A536" s="1"/>
      <c r="B536" s="1"/>
      <c r="C536" s="9"/>
    </row>
    <row r="537" ht="14.25" customHeight="1">
      <c r="A537" s="1"/>
      <c r="B537" s="1"/>
      <c r="C537" s="9"/>
    </row>
    <row r="538" ht="14.25" customHeight="1">
      <c r="A538" s="1"/>
      <c r="B538" s="1"/>
      <c r="C538" s="9"/>
    </row>
    <row r="539" ht="14.25" customHeight="1">
      <c r="A539" s="1"/>
      <c r="B539" s="1"/>
      <c r="C539" s="9"/>
    </row>
    <row r="540" ht="14.25" customHeight="1">
      <c r="A540" s="1"/>
      <c r="B540" s="1"/>
      <c r="C540" s="9"/>
    </row>
    <row r="541" ht="14.25" customHeight="1">
      <c r="A541" s="1"/>
      <c r="B541" s="1"/>
      <c r="C541" s="9"/>
    </row>
    <row r="542" ht="14.25" customHeight="1">
      <c r="A542" s="1"/>
      <c r="B542" s="1"/>
      <c r="C542" s="9"/>
    </row>
    <row r="543" ht="14.25" customHeight="1">
      <c r="A543" s="1"/>
      <c r="B543" s="1"/>
      <c r="C543" s="9"/>
    </row>
    <row r="544" ht="14.25" customHeight="1">
      <c r="A544" s="1"/>
      <c r="B544" s="1"/>
      <c r="C544" s="9"/>
    </row>
    <row r="545" ht="14.25" customHeight="1">
      <c r="A545" s="1"/>
      <c r="B545" s="1"/>
      <c r="C545" s="9"/>
    </row>
    <row r="546" ht="14.25" customHeight="1">
      <c r="A546" s="1"/>
      <c r="B546" s="1"/>
      <c r="C546" s="9"/>
    </row>
    <row r="547" ht="14.25" customHeight="1">
      <c r="A547" s="1"/>
      <c r="B547" s="1"/>
      <c r="C547" s="9"/>
    </row>
    <row r="548" ht="14.25" customHeight="1">
      <c r="A548" s="1"/>
      <c r="B548" s="1"/>
      <c r="C548" s="9"/>
    </row>
    <row r="549" ht="14.25" customHeight="1">
      <c r="A549" s="1"/>
      <c r="B549" s="1"/>
      <c r="C549" s="9"/>
    </row>
    <row r="550" ht="14.25" customHeight="1">
      <c r="A550" s="1"/>
      <c r="B550" s="1"/>
      <c r="C550" s="9"/>
    </row>
    <row r="551" ht="14.25" customHeight="1">
      <c r="A551" s="1"/>
      <c r="B551" s="1"/>
      <c r="C551" s="9"/>
    </row>
    <row r="552" ht="14.25" customHeight="1">
      <c r="A552" s="1"/>
      <c r="B552" s="1"/>
      <c r="C552" s="9"/>
    </row>
    <row r="553" ht="14.25" customHeight="1">
      <c r="A553" s="1"/>
      <c r="B553" s="1"/>
      <c r="C553" s="9"/>
    </row>
    <row r="554" ht="14.25" customHeight="1">
      <c r="A554" s="1"/>
      <c r="B554" s="1"/>
      <c r="C554" s="9"/>
    </row>
    <row r="555" ht="14.25" customHeight="1">
      <c r="A555" s="1"/>
      <c r="B555" s="1"/>
      <c r="C555" s="9"/>
    </row>
    <row r="556" ht="14.25" customHeight="1">
      <c r="A556" s="1"/>
      <c r="B556" s="1"/>
      <c r="C556" s="9"/>
    </row>
    <row r="557" ht="14.25" customHeight="1">
      <c r="A557" s="1"/>
      <c r="B557" s="1"/>
      <c r="C557" s="9"/>
    </row>
    <row r="558" ht="14.25" customHeight="1">
      <c r="A558" s="1"/>
      <c r="B558" s="1"/>
      <c r="C558" s="9"/>
    </row>
    <row r="559" ht="14.25" customHeight="1">
      <c r="A559" s="1"/>
      <c r="B559" s="1"/>
      <c r="C559" s="9"/>
    </row>
    <row r="560" ht="14.25" customHeight="1">
      <c r="A560" s="1"/>
      <c r="B560" s="1"/>
      <c r="C560" s="9"/>
    </row>
    <row r="561" ht="14.25" customHeight="1">
      <c r="A561" s="1"/>
      <c r="B561" s="1"/>
      <c r="C561" s="9"/>
    </row>
    <row r="562" ht="14.25" customHeight="1">
      <c r="A562" s="1"/>
      <c r="B562" s="1"/>
      <c r="C562" s="9"/>
    </row>
    <row r="563" ht="14.25" customHeight="1">
      <c r="A563" s="1"/>
      <c r="B563" s="1"/>
      <c r="C563" s="9"/>
    </row>
    <row r="564" ht="14.25" customHeight="1">
      <c r="A564" s="1"/>
      <c r="B564" s="1"/>
      <c r="C564" s="9"/>
    </row>
    <row r="565" ht="14.25" customHeight="1">
      <c r="A565" s="1"/>
      <c r="B565" s="1"/>
      <c r="C565" s="9"/>
    </row>
    <row r="566" ht="14.25" customHeight="1">
      <c r="A566" s="1"/>
      <c r="B566" s="1"/>
      <c r="C566" s="9"/>
    </row>
    <row r="567" ht="14.25" customHeight="1">
      <c r="A567" s="1"/>
      <c r="B567" s="1"/>
      <c r="C567" s="9"/>
    </row>
    <row r="568" ht="14.25" customHeight="1">
      <c r="A568" s="1"/>
      <c r="B568" s="1"/>
      <c r="C568" s="9"/>
    </row>
    <row r="569" ht="14.25" customHeight="1">
      <c r="A569" s="1"/>
      <c r="B569" s="1"/>
      <c r="C569" s="9"/>
    </row>
    <row r="570" ht="14.25" customHeight="1">
      <c r="A570" s="1"/>
      <c r="B570" s="1"/>
      <c r="C570" s="9"/>
    </row>
    <row r="571" ht="14.25" customHeight="1">
      <c r="A571" s="1"/>
      <c r="B571" s="1"/>
      <c r="C571" s="9"/>
    </row>
    <row r="572" ht="14.25" customHeight="1">
      <c r="A572" s="1"/>
      <c r="B572" s="1"/>
      <c r="C572" s="9"/>
    </row>
    <row r="573" ht="14.25" customHeight="1">
      <c r="A573" s="1"/>
      <c r="B573" s="1"/>
      <c r="C573" s="9"/>
    </row>
    <row r="574" ht="14.25" customHeight="1">
      <c r="A574" s="1"/>
      <c r="B574" s="1"/>
      <c r="C574" s="9"/>
    </row>
    <row r="575" ht="14.25" customHeight="1">
      <c r="A575" s="1"/>
      <c r="B575" s="1"/>
      <c r="C575" s="9"/>
    </row>
    <row r="576" ht="14.25" customHeight="1">
      <c r="A576" s="1"/>
      <c r="B576" s="1"/>
      <c r="C576" s="9"/>
    </row>
    <row r="577" ht="14.25" customHeight="1">
      <c r="A577" s="1"/>
      <c r="B577" s="1"/>
      <c r="C577" s="9"/>
    </row>
    <row r="578" ht="14.25" customHeight="1">
      <c r="A578" s="1"/>
      <c r="B578" s="1"/>
      <c r="C578" s="9"/>
    </row>
    <row r="579" ht="14.25" customHeight="1">
      <c r="A579" s="1"/>
      <c r="B579" s="1"/>
      <c r="C579" s="9"/>
    </row>
    <row r="580" ht="14.25" customHeight="1">
      <c r="A580" s="1"/>
      <c r="B580" s="1"/>
      <c r="C580" s="9"/>
    </row>
    <row r="581" ht="14.25" customHeight="1">
      <c r="A581" s="1"/>
      <c r="B581" s="1"/>
      <c r="C581" s="9"/>
    </row>
    <row r="582" ht="14.25" customHeight="1">
      <c r="A582" s="1"/>
      <c r="B582" s="1"/>
      <c r="C582" s="9"/>
    </row>
    <row r="583" ht="14.25" customHeight="1">
      <c r="A583" s="1"/>
      <c r="B583" s="1"/>
      <c r="C583" s="9"/>
    </row>
    <row r="584" ht="14.25" customHeight="1">
      <c r="A584" s="1"/>
      <c r="B584" s="1"/>
      <c r="C584" s="9"/>
    </row>
    <row r="585" ht="14.25" customHeight="1">
      <c r="A585" s="1"/>
      <c r="B585" s="1"/>
      <c r="C585" s="9"/>
    </row>
    <row r="586" ht="14.25" customHeight="1">
      <c r="A586" s="1"/>
      <c r="B586" s="1"/>
      <c r="C586" s="9"/>
    </row>
    <row r="587" ht="14.25" customHeight="1">
      <c r="A587" s="1"/>
      <c r="B587" s="1"/>
      <c r="C587" s="9"/>
    </row>
    <row r="588" ht="14.25" customHeight="1">
      <c r="A588" s="1"/>
      <c r="B588" s="1"/>
      <c r="C588" s="9"/>
    </row>
    <row r="589" ht="14.25" customHeight="1">
      <c r="A589" s="1"/>
      <c r="B589" s="1"/>
      <c r="C589" s="9"/>
    </row>
    <row r="590" ht="14.25" customHeight="1">
      <c r="A590" s="1"/>
      <c r="B590" s="1"/>
      <c r="C590" s="9"/>
    </row>
    <row r="591" ht="14.25" customHeight="1">
      <c r="A591" s="1"/>
      <c r="B591" s="1"/>
      <c r="C591" s="9"/>
    </row>
    <row r="592" ht="14.25" customHeight="1">
      <c r="A592" s="1"/>
      <c r="B592" s="1"/>
      <c r="C592" s="9"/>
    </row>
    <row r="593" ht="14.25" customHeight="1">
      <c r="A593" s="1"/>
      <c r="B593" s="1"/>
      <c r="C593" s="9"/>
    </row>
    <row r="594" ht="14.25" customHeight="1">
      <c r="A594" s="1"/>
      <c r="B594" s="1"/>
      <c r="C594" s="9"/>
    </row>
    <row r="595" ht="14.25" customHeight="1">
      <c r="A595" s="1"/>
      <c r="B595" s="1"/>
      <c r="C595" s="9"/>
    </row>
    <row r="596" ht="14.25" customHeight="1">
      <c r="A596" s="1"/>
      <c r="B596" s="1"/>
      <c r="C596" s="9"/>
    </row>
    <row r="597" ht="14.25" customHeight="1">
      <c r="A597" s="1"/>
      <c r="B597" s="1"/>
      <c r="C597" s="9"/>
    </row>
    <row r="598" ht="14.25" customHeight="1">
      <c r="A598" s="1"/>
      <c r="B598" s="1"/>
      <c r="C598" s="9"/>
    </row>
    <row r="599" ht="14.25" customHeight="1">
      <c r="A599" s="1"/>
      <c r="B599" s="1"/>
      <c r="C599" s="9"/>
    </row>
    <row r="600" ht="14.25" customHeight="1">
      <c r="A600" s="1"/>
      <c r="B600" s="1"/>
      <c r="C600" s="9"/>
    </row>
    <row r="601" ht="14.25" customHeight="1">
      <c r="A601" s="1"/>
      <c r="B601" s="1"/>
      <c r="C601" s="9"/>
    </row>
    <row r="602" ht="14.25" customHeight="1">
      <c r="A602" s="1"/>
      <c r="B602" s="1"/>
      <c r="C602" s="9"/>
    </row>
    <row r="603" ht="14.25" customHeight="1">
      <c r="A603" s="1"/>
      <c r="B603" s="1"/>
      <c r="C603" s="9"/>
    </row>
    <row r="604" ht="14.25" customHeight="1">
      <c r="A604" s="1"/>
      <c r="B604" s="1"/>
      <c r="C604" s="9"/>
    </row>
    <row r="605" ht="14.25" customHeight="1">
      <c r="A605" s="1"/>
      <c r="B605" s="1"/>
      <c r="C605" s="9"/>
    </row>
    <row r="606" ht="14.25" customHeight="1">
      <c r="A606" s="1"/>
      <c r="B606" s="1"/>
      <c r="C606" s="9"/>
    </row>
    <row r="607" ht="14.25" customHeight="1">
      <c r="A607" s="1"/>
      <c r="B607" s="1"/>
      <c r="C607" s="9"/>
    </row>
    <row r="608" ht="14.25" customHeight="1">
      <c r="A608" s="1"/>
      <c r="B608" s="1"/>
      <c r="C608" s="9"/>
    </row>
    <row r="609" ht="14.25" customHeight="1">
      <c r="A609" s="1"/>
      <c r="B609" s="1"/>
      <c r="C609" s="9"/>
    </row>
    <row r="610" ht="14.25" customHeight="1">
      <c r="A610" s="1"/>
      <c r="B610" s="1"/>
      <c r="C610" s="9"/>
    </row>
    <row r="611" ht="14.25" customHeight="1">
      <c r="A611" s="1"/>
      <c r="B611" s="1"/>
      <c r="C611" s="9"/>
    </row>
    <row r="612" ht="14.25" customHeight="1">
      <c r="A612" s="1"/>
      <c r="B612" s="1"/>
      <c r="C612" s="9"/>
    </row>
    <row r="613" ht="14.25" customHeight="1">
      <c r="A613" s="1"/>
      <c r="B613" s="1"/>
      <c r="C613" s="9"/>
    </row>
    <row r="614" ht="14.25" customHeight="1">
      <c r="A614" s="1"/>
      <c r="B614" s="1"/>
      <c r="C614" s="9"/>
    </row>
    <row r="615" ht="14.25" customHeight="1">
      <c r="A615" s="1"/>
      <c r="B615" s="1"/>
      <c r="C615" s="9"/>
    </row>
    <row r="616" ht="14.25" customHeight="1">
      <c r="A616" s="1"/>
      <c r="B616" s="1"/>
      <c r="C616" s="9"/>
    </row>
    <row r="617" ht="14.25" customHeight="1">
      <c r="A617" s="1"/>
      <c r="B617" s="1"/>
      <c r="C617" s="9"/>
    </row>
    <row r="618" ht="14.25" customHeight="1">
      <c r="A618" s="1"/>
      <c r="B618" s="1"/>
      <c r="C618" s="9"/>
    </row>
    <row r="619" ht="14.25" customHeight="1">
      <c r="A619" s="1"/>
      <c r="B619" s="1"/>
      <c r="C619" s="9"/>
    </row>
    <row r="620" ht="14.25" customHeight="1">
      <c r="A620" s="1"/>
      <c r="B620" s="1"/>
      <c r="C620" s="9"/>
    </row>
    <row r="621" ht="14.25" customHeight="1">
      <c r="A621" s="1"/>
      <c r="B621" s="1"/>
      <c r="C621" s="9"/>
    </row>
    <row r="622" ht="14.25" customHeight="1">
      <c r="A622" s="1"/>
      <c r="B622" s="1"/>
      <c r="C622" s="9"/>
    </row>
    <row r="623" ht="14.25" customHeight="1">
      <c r="A623" s="1"/>
      <c r="B623" s="1"/>
      <c r="C623" s="9"/>
    </row>
    <row r="624" ht="14.25" customHeight="1">
      <c r="A624" s="1"/>
      <c r="B624" s="1"/>
      <c r="C624" s="9"/>
    </row>
    <row r="625" ht="14.25" customHeight="1">
      <c r="A625" s="1"/>
      <c r="B625" s="1"/>
      <c r="C625" s="9"/>
    </row>
    <row r="626" ht="14.25" customHeight="1">
      <c r="A626" s="1"/>
      <c r="B626" s="1"/>
      <c r="C626" s="9"/>
    </row>
    <row r="627" ht="14.25" customHeight="1">
      <c r="A627" s="1"/>
      <c r="B627" s="1"/>
      <c r="C627" s="9"/>
    </row>
    <row r="628" ht="14.25" customHeight="1">
      <c r="A628" s="1"/>
      <c r="B628" s="1"/>
      <c r="C628" s="9"/>
    </row>
    <row r="629" ht="14.25" customHeight="1">
      <c r="A629" s="1"/>
      <c r="B629" s="1"/>
      <c r="C629" s="9"/>
    </row>
    <row r="630" ht="14.25" customHeight="1">
      <c r="A630" s="1"/>
      <c r="B630" s="1"/>
      <c r="C630" s="9"/>
    </row>
    <row r="631" ht="14.25" customHeight="1">
      <c r="A631" s="1"/>
      <c r="B631" s="1"/>
      <c r="C631" s="9"/>
    </row>
    <row r="632" ht="14.25" customHeight="1">
      <c r="A632" s="1"/>
      <c r="B632" s="1"/>
      <c r="C632" s="9"/>
    </row>
    <row r="633" ht="14.25" customHeight="1">
      <c r="A633" s="1"/>
      <c r="B633" s="1"/>
      <c r="C633" s="9"/>
    </row>
    <row r="634" ht="14.25" customHeight="1">
      <c r="A634" s="1"/>
      <c r="B634" s="1"/>
      <c r="C634" s="9"/>
    </row>
    <row r="635" ht="14.25" customHeight="1">
      <c r="A635" s="1"/>
      <c r="B635" s="1"/>
      <c r="C635" s="9"/>
    </row>
    <row r="636" ht="14.25" customHeight="1">
      <c r="A636" s="1"/>
      <c r="B636" s="1"/>
      <c r="C636" s="9"/>
    </row>
    <row r="637" ht="14.25" customHeight="1">
      <c r="A637" s="1"/>
      <c r="B637" s="1"/>
      <c r="C637" s="9"/>
    </row>
    <row r="638" ht="14.25" customHeight="1">
      <c r="A638" s="1"/>
      <c r="B638" s="1"/>
      <c r="C638" s="9"/>
    </row>
    <row r="639" ht="14.25" customHeight="1">
      <c r="A639" s="1"/>
      <c r="B639" s="1"/>
      <c r="C639" s="9"/>
    </row>
    <row r="640" ht="14.25" customHeight="1">
      <c r="A640" s="1"/>
      <c r="B640" s="1"/>
      <c r="C640" s="9"/>
    </row>
    <row r="641" ht="14.25" customHeight="1">
      <c r="A641" s="1"/>
      <c r="B641" s="1"/>
      <c r="C641" s="9"/>
    </row>
    <row r="642" ht="14.25" customHeight="1">
      <c r="A642" s="1"/>
      <c r="B642" s="1"/>
      <c r="C642" s="9"/>
    </row>
    <row r="643" ht="14.25" customHeight="1">
      <c r="A643" s="1"/>
      <c r="B643" s="1"/>
      <c r="C643" s="9"/>
    </row>
    <row r="644" ht="14.25" customHeight="1">
      <c r="A644" s="1"/>
      <c r="B644" s="1"/>
      <c r="C644" s="9"/>
    </row>
    <row r="645" ht="14.25" customHeight="1">
      <c r="A645" s="1"/>
      <c r="B645" s="1"/>
      <c r="C645" s="9"/>
    </row>
    <row r="646" ht="14.25" customHeight="1">
      <c r="A646" s="1"/>
      <c r="B646" s="1"/>
      <c r="C646" s="9"/>
    </row>
    <row r="647" ht="14.25" customHeight="1">
      <c r="A647" s="1"/>
      <c r="B647" s="1"/>
      <c r="C647" s="9"/>
    </row>
    <row r="648" ht="14.25" customHeight="1">
      <c r="A648" s="1"/>
      <c r="B648" s="1"/>
      <c r="C648" s="9"/>
    </row>
    <row r="649" ht="14.25" customHeight="1">
      <c r="A649" s="1"/>
      <c r="B649" s="1"/>
      <c r="C649" s="9"/>
    </row>
    <row r="650" ht="14.25" customHeight="1">
      <c r="A650" s="1"/>
      <c r="B650" s="1"/>
      <c r="C650" s="9"/>
    </row>
    <row r="651" ht="14.25" customHeight="1">
      <c r="A651" s="1"/>
      <c r="B651" s="1"/>
      <c r="C651" s="9"/>
    </row>
    <row r="652" ht="14.25" customHeight="1">
      <c r="A652" s="1"/>
      <c r="B652" s="1"/>
      <c r="C652" s="9"/>
    </row>
    <row r="653" ht="14.25" customHeight="1">
      <c r="A653" s="1"/>
      <c r="B653" s="1"/>
      <c r="C653" s="9"/>
    </row>
    <row r="654" ht="14.25" customHeight="1">
      <c r="A654" s="1"/>
      <c r="B654" s="1"/>
      <c r="C654" s="9"/>
    </row>
    <row r="655" ht="14.25" customHeight="1">
      <c r="A655" s="1"/>
      <c r="B655" s="1"/>
      <c r="C655" s="9"/>
    </row>
    <row r="656" ht="14.25" customHeight="1">
      <c r="A656" s="1"/>
      <c r="B656" s="1"/>
      <c r="C656" s="9"/>
    </row>
    <row r="657" ht="14.25" customHeight="1">
      <c r="A657" s="1"/>
      <c r="B657" s="1"/>
      <c r="C657" s="9"/>
    </row>
    <row r="658" ht="14.25" customHeight="1">
      <c r="A658" s="1"/>
      <c r="B658" s="1"/>
      <c r="C658" s="9"/>
    </row>
    <row r="659" ht="14.25" customHeight="1">
      <c r="A659" s="1"/>
      <c r="B659" s="1"/>
      <c r="C659" s="9"/>
    </row>
    <row r="660" ht="14.25" customHeight="1">
      <c r="A660" s="1"/>
      <c r="B660" s="1"/>
      <c r="C660" s="9"/>
    </row>
    <row r="661" ht="14.25" customHeight="1">
      <c r="A661" s="1"/>
      <c r="B661" s="1"/>
      <c r="C661" s="9"/>
    </row>
    <row r="662" ht="14.25" customHeight="1">
      <c r="A662" s="1"/>
      <c r="B662" s="1"/>
      <c r="C662" s="9"/>
    </row>
    <row r="663" ht="14.25" customHeight="1">
      <c r="A663" s="1"/>
      <c r="B663" s="1"/>
      <c r="C663" s="9"/>
    </row>
    <row r="664" ht="14.25" customHeight="1">
      <c r="A664" s="1"/>
      <c r="B664" s="1"/>
      <c r="C664" s="9"/>
    </row>
    <row r="665" ht="14.25" customHeight="1">
      <c r="A665" s="1"/>
      <c r="B665" s="1"/>
      <c r="C665" s="9"/>
    </row>
    <row r="666" ht="14.25" customHeight="1">
      <c r="A666" s="1"/>
      <c r="B666" s="1"/>
      <c r="C666" s="9"/>
    </row>
    <row r="667" ht="14.25" customHeight="1">
      <c r="A667" s="1"/>
      <c r="B667" s="1"/>
      <c r="C667" s="9"/>
    </row>
    <row r="668" ht="14.25" customHeight="1">
      <c r="A668" s="1"/>
      <c r="B668" s="1"/>
      <c r="C668" s="9"/>
    </row>
    <row r="669" ht="14.25" customHeight="1">
      <c r="A669" s="1"/>
      <c r="B669" s="1"/>
      <c r="C669" s="9"/>
    </row>
    <row r="670" ht="14.25" customHeight="1">
      <c r="A670" s="1"/>
      <c r="B670" s="1"/>
      <c r="C670" s="9"/>
    </row>
    <row r="671" ht="14.25" customHeight="1">
      <c r="A671" s="1"/>
      <c r="B671" s="1"/>
      <c r="C671" s="9"/>
    </row>
    <row r="672" ht="14.25" customHeight="1">
      <c r="A672" s="1"/>
      <c r="B672" s="1"/>
      <c r="C672" s="9"/>
    </row>
    <row r="673" ht="14.25" customHeight="1">
      <c r="A673" s="1"/>
      <c r="B673" s="1"/>
      <c r="C673" s="9"/>
    </row>
    <row r="674" ht="14.25" customHeight="1">
      <c r="A674" s="1"/>
      <c r="B674" s="1"/>
      <c r="C674" s="9"/>
    </row>
    <row r="675" ht="14.25" customHeight="1">
      <c r="A675" s="1"/>
      <c r="B675" s="1"/>
      <c r="C675" s="9"/>
    </row>
    <row r="676" ht="14.25" customHeight="1">
      <c r="A676" s="1"/>
      <c r="B676" s="1"/>
      <c r="C676" s="9"/>
    </row>
    <row r="677" ht="14.25" customHeight="1">
      <c r="A677" s="1"/>
      <c r="B677" s="1"/>
      <c r="C677" s="9"/>
    </row>
    <row r="678" ht="14.25" customHeight="1">
      <c r="A678" s="1"/>
      <c r="B678" s="1"/>
      <c r="C678" s="9"/>
    </row>
    <row r="679" ht="14.25" customHeight="1">
      <c r="A679" s="1"/>
      <c r="B679" s="1"/>
      <c r="C679" s="9"/>
    </row>
    <row r="680" ht="14.25" customHeight="1">
      <c r="A680" s="1"/>
      <c r="B680" s="1"/>
      <c r="C680" s="9"/>
    </row>
    <row r="681" ht="14.25" customHeight="1">
      <c r="A681" s="1"/>
      <c r="B681" s="1"/>
      <c r="C681" s="9"/>
    </row>
    <row r="682" ht="14.25" customHeight="1">
      <c r="A682" s="1"/>
      <c r="B682" s="1"/>
      <c r="C682" s="9"/>
    </row>
    <row r="683" ht="14.25" customHeight="1">
      <c r="A683" s="1"/>
      <c r="B683" s="1"/>
      <c r="C683" s="9"/>
    </row>
    <row r="684" ht="14.25" customHeight="1">
      <c r="A684" s="1"/>
      <c r="B684" s="1"/>
      <c r="C684" s="9"/>
    </row>
    <row r="685" ht="14.25" customHeight="1">
      <c r="A685" s="1"/>
      <c r="B685" s="1"/>
      <c r="C685" s="9"/>
    </row>
    <row r="686" ht="14.25" customHeight="1">
      <c r="A686" s="1"/>
      <c r="B686" s="1"/>
      <c r="C686" s="9"/>
    </row>
    <row r="687" ht="14.25" customHeight="1">
      <c r="A687" s="1"/>
      <c r="B687" s="1"/>
      <c r="C687" s="9"/>
    </row>
    <row r="688" ht="14.25" customHeight="1">
      <c r="A688" s="1"/>
      <c r="B688" s="1"/>
      <c r="C688" s="9"/>
    </row>
    <row r="689" ht="14.25" customHeight="1">
      <c r="A689" s="1"/>
      <c r="B689" s="1"/>
      <c r="C689" s="9"/>
    </row>
    <row r="690" ht="14.25" customHeight="1">
      <c r="A690" s="1"/>
      <c r="B690" s="1"/>
      <c r="C690" s="9"/>
    </row>
    <row r="691" ht="14.25" customHeight="1">
      <c r="A691" s="1"/>
      <c r="B691" s="1"/>
      <c r="C691" s="9"/>
    </row>
    <row r="692" ht="14.25" customHeight="1">
      <c r="A692" s="1"/>
      <c r="B692" s="1"/>
      <c r="C692" s="9"/>
    </row>
    <row r="693" ht="14.25" customHeight="1">
      <c r="A693" s="1"/>
      <c r="B693" s="1"/>
      <c r="C693" s="9"/>
    </row>
    <row r="694" ht="14.25" customHeight="1">
      <c r="A694" s="1"/>
      <c r="B694" s="1"/>
      <c r="C694" s="9"/>
    </row>
    <row r="695" ht="14.25" customHeight="1">
      <c r="A695" s="1"/>
      <c r="B695" s="1"/>
      <c r="C695" s="9"/>
    </row>
    <row r="696" ht="14.25" customHeight="1">
      <c r="A696" s="1"/>
      <c r="B696" s="1"/>
      <c r="C696" s="9"/>
    </row>
    <row r="697" ht="14.25" customHeight="1">
      <c r="A697" s="1"/>
      <c r="B697" s="1"/>
      <c r="C697" s="9"/>
    </row>
    <row r="698" ht="14.25" customHeight="1">
      <c r="A698" s="1"/>
      <c r="B698" s="1"/>
      <c r="C698" s="9"/>
    </row>
    <row r="699" ht="14.25" customHeight="1">
      <c r="A699" s="1"/>
      <c r="B699" s="1"/>
      <c r="C699" s="9"/>
    </row>
    <row r="700" ht="14.25" customHeight="1">
      <c r="A700" s="1"/>
      <c r="B700" s="1"/>
      <c r="C700" s="9"/>
    </row>
    <row r="701" ht="14.25" customHeight="1">
      <c r="A701" s="1"/>
      <c r="B701" s="1"/>
      <c r="C701" s="9"/>
    </row>
    <row r="702" ht="14.25" customHeight="1">
      <c r="A702" s="1"/>
      <c r="B702" s="1"/>
      <c r="C702" s="9"/>
    </row>
    <row r="703" ht="14.25" customHeight="1">
      <c r="A703" s="1"/>
      <c r="B703" s="1"/>
      <c r="C703" s="9"/>
    </row>
    <row r="704" ht="14.25" customHeight="1">
      <c r="A704" s="1"/>
      <c r="B704" s="1"/>
      <c r="C704" s="9"/>
    </row>
    <row r="705" ht="14.25" customHeight="1">
      <c r="A705" s="1"/>
      <c r="B705" s="1"/>
      <c r="C705" s="9"/>
    </row>
    <row r="706" ht="14.25" customHeight="1">
      <c r="A706" s="1"/>
      <c r="B706" s="1"/>
      <c r="C706" s="9"/>
    </row>
    <row r="707" ht="14.25" customHeight="1">
      <c r="A707" s="1"/>
      <c r="B707" s="1"/>
      <c r="C707" s="9"/>
    </row>
    <row r="708" ht="14.25" customHeight="1">
      <c r="A708" s="1"/>
      <c r="B708" s="1"/>
      <c r="C708" s="9"/>
    </row>
    <row r="709" ht="14.25" customHeight="1">
      <c r="A709" s="1"/>
      <c r="B709" s="1"/>
      <c r="C709" s="9"/>
    </row>
    <row r="710" ht="14.25" customHeight="1">
      <c r="A710" s="1"/>
      <c r="B710" s="1"/>
      <c r="C710" s="9"/>
    </row>
    <row r="711" ht="14.25" customHeight="1">
      <c r="A711" s="1"/>
      <c r="B711" s="1"/>
      <c r="C711" s="9"/>
    </row>
    <row r="712" ht="14.25" customHeight="1">
      <c r="A712" s="1"/>
      <c r="B712" s="1"/>
      <c r="C712" s="9"/>
    </row>
    <row r="713" ht="14.25" customHeight="1">
      <c r="A713" s="1"/>
      <c r="B713" s="1"/>
      <c r="C713" s="9"/>
    </row>
    <row r="714" ht="14.25" customHeight="1">
      <c r="A714" s="1"/>
      <c r="B714" s="1"/>
      <c r="C714" s="9"/>
    </row>
    <row r="715" ht="14.25" customHeight="1">
      <c r="A715" s="1"/>
      <c r="B715" s="1"/>
      <c r="C715" s="9"/>
    </row>
    <row r="716" ht="14.25" customHeight="1">
      <c r="A716" s="1"/>
      <c r="B716" s="1"/>
      <c r="C716" s="9"/>
    </row>
    <row r="717" ht="14.25" customHeight="1">
      <c r="A717" s="1"/>
      <c r="B717" s="1"/>
      <c r="C717" s="9"/>
    </row>
    <row r="718" ht="14.25" customHeight="1">
      <c r="A718" s="1"/>
      <c r="B718" s="1"/>
      <c r="C718" s="9"/>
    </row>
    <row r="719" ht="14.25" customHeight="1">
      <c r="A719" s="1"/>
      <c r="B719" s="1"/>
      <c r="C719" s="9"/>
    </row>
    <row r="720" ht="14.25" customHeight="1">
      <c r="A720" s="1"/>
      <c r="B720" s="1"/>
      <c r="C720" s="9"/>
    </row>
    <row r="721" ht="14.25" customHeight="1">
      <c r="A721" s="1"/>
      <c r="B721" s="1"/>
      <c r="C721" s="9"/>
    </row>
    <row r="722" ht="14.25" customHeight="1">
      <c r="A722" s="1"/>
      <c r="B722" s="1"/>
      <c r="C722" s="9"/>
    </row>
    <row r="723" ht="14.25" customHeight="1">
      <c r="A723" s="1"/>
      <c r="B723" s="1"/>
      <c r="C723" s="9"/>
    </row>
    <row r="724" ht="14.25" customHeight="1">
      <c r="A724" s="1"/>
      <c r="B724" s="1"/>
      <c r="C724" s="9"/>
    </row>
    <row r="725" ht="14.25" customHeight="1">
      <c r="A725" s="1"/>
      <c r="B725" s="1"/>
      <c r="C725" s="9"/>
    </row>
    <row r="726" ht="14.25" customHeight="1">
      <c r="A726" s="1"/>
      <c r="B726" s="1"/>
      <c r="C726" s="9"/>
    </row>
    <row r="727" ht="14.25" customHeight="1">
      <c r="A727" s="1"/>
      <c r="B727" s="1"/>
      <c r="C727" s="9"/>
    </row>
    <row r="728" ht="14.25" customHeight="1">
      <c r="A728" s="1"/>
      <c r="B728" s="1"/>
      <c r="C728" s="9"/>
    </row>
    <row r="729" ht="14.25" customHeight="1">
      <c r="A729" s="1"/>
      <c r="B729" s="1"/>
      <c r="C729" s="9"/>
    </row>
    <row r="730" ht="14.25" customHeight="1">
      <c r="A730" s="1"/>
      <c r="B730" s="1"/>
      <c r="C730" s="9"/>
    </row>
    <row r="731" ht="14.25" customHeight="1">
      <c r="A731" s="1"/>
      <c r="B731" s="1"/>
      <c r="C731" s="9"/>
    </row>
    <row r="732" ht="14.25" customHeight="1">
      <c r="A732" s="1"/>
      <c r="B732" s="1"/>
      <c r="C732" s="9"/>
    </row>
    <row r="733" ht="14.25" customHeight="1">
      <c r="A733" s="1"/>
      <c r="B733" s="1"/>
      <c r="C733" s="9"/>
    </row>
    <row r="734" ht="14.25" customHeight="1">
      <c r="A734" s="1"/>
      <c r="B734" s="1"/>
      <c r="C734" s="9"/>
    </row>
    <row r="735" ht="14.25" customHeight="1">
      <c r="A735" s="1"/>
      <c r="B735" s="1"/>
      <c r="C735" s="9"/>
    </row>
    <row r="736" ht="14.25" customHeight="1">
      <c r="A736" s="1"/>
      <c r="B736" s="1"/>
      <c r="C736" s="9"/>
    </row>
    <row r="737" ht="14.25" customHeight="1">
      <c r="A737" s="1"/>
      <c r="B737" s="1"/>
      <c r="C737" s="9"/>
    </row>
    <row r="738" ht="14.25" customHeight="1">
      <c r="A738" s="1"/>
      <c r="B738" s="1"/>
      <c r="C738" s="9"/>
    </row>
    <row r="739" ht="14.25" customHeight="1">
      <c r="A739" s="1"/>
      <c r="B739" s="1"/>
      <c r="C739" s="9"/>
    </row>
    <row r="740" ht="14.25" customHeight="1">
      <c r="A740" s="1"/>
      <c r="B740" s="1"/>
      <c r="C740" s="9"/>
    </row>
    <row r="741" ht="14.25" customHeight="1">
      <c r="A741" s="1"/>
      <c r="B741" s="1"/>
      <c r="C741" s="9"/>
    </row>
    <row r="742" ht="14.25" customHeight="1">
      <c r="A742" s="1"/>
      <c r="B742" s="1"/>
      <c r="C742" s="9"/>
    </row>
    <row r="743" ht="14.25" customHeight="1">
      <c r="A743" s="1"/>
      <c r="B743" s="1"/>
      <c r="C743" s="9"/>
    </row>
    <row r="744" ht="14.25" customHeight="1">
      <c r="A744" s="1"/>
      <c r="B744" s="1"/>
      <c r="C744" s="9"/>
    </row>
    <row r="745" ht="14.25" customHeight="1">
      <c r="A745" s="1"/>
      <c r="B745" s="1"/>
      <c r="C745" s="9"/>
    </row>
    <row r="746" ht="14.25" customHeight="1">
      <c r="A746" s="1"/>
      <c r="B746" s="1"/>
      <c r="C746" s="9"/>
    </row>
    <row r="747" ht="14.25" customHeight="1">
      <c r="A747" s="1"/>
      <c r="B747" s="1"/>
      <c r="C747" s="9"/>
    </row>
    <row r="748" ht="14.25" customHeight="1">
      <c r="A748" s="1"/>
      <c r="B748" s="1"/>
      <c r="C748" s="9"/>
    </row>
    <row r="749" ht="14.25" customHeight="1">
      <c r="A749" s="1"/>
      <c r="B749" s="1"/>
      <c r="C749" s="9"/>
    </row>
    <row r="750" ht="14.25" customHeight="1">
      <c r="A750" s="1"/>
      <c r="B750" s="1"/>
      <c r="C750" s="9"/>
    </row>
    <row r="751" ht="14.25" customHeight="1">
      <c r="A751" s="1"/>
      <c r="B751" s="1"/>
      <c r="C751" s="9"/>
    </row>
    <row r="752" ht="14.25" customHeight="1">
      <c r="A752" s="1"/>
      <c r="B752" s="1"/>
      <c r="C752" s="9"/>
    </row>
    <row r="753" ht="14.25" customHeight="1">
      <c r="A753" s="1"/>
      <c r="B753" s="1"/>
      <c r="C753" s="9"/>
    </row>
    <row r="754" ht="14.25" customHeight="1">
      <c r="A754" s="1"/>
      <c r="B754" s="1"/>
      <c r="C754" s="9"/>
    </row>
    <row r="755" ht="14.25" customHeight="1">
      <c r="A755" s="1"/>
      <c r="B755" s="1"/>
      <c r="C755" s="9"/>
    </row>
    <row r="756" ht="14.25" customHeight="1">
      <c r="A756" s="1"/>
      <c r="B756" s="1"/>
      <c r="C756" s="9"/>
    </row>
    <row r="757" ht="14.25" customHeight="1">
      <c r="A757" s="1"/>
      <c r="B757" s="1"/>
      <c r="C757" s="9"/>
    </row>
    <row r="758" ht="14.25" customHeight="1">
      <c r="A758" s="1"/>
      <c r="B758" s="1"/>
      <c r="C758" s="9"/>
    </row>
    <row r="759" ht="14.25" customHeight="1">
      <c r="A759" s="1"/>
      <c r="B759" s="1"/>
      <c r="C759" s="9"/>
    </row>
    <row r="760" ht="14.25" customHeight="1">
      <c r="A760" s="1"/>
      <c r="B760" s="1"/>
      <c r="C760" s="9"/>
    </row>
    <row r="761" ht="14.25" customHeight="1">
      <c r="A761" s="1"/>
      <c r="B761" s="1"/>
      <c r="C761" s="9"/>
    </row>
    <row r="762" ht="14.25" customHeight="1">
      <c r="A762" s="1"/>
      <c r="B762" s="1"/>
      <c r="C762" s="9"/>
    </row>
    <row r="763" ht="14.25" customHeight="1">
      <c r="A763" s="1"/>
      <c r="B763" s="1"/>
      <c r="C763" s="9"/>
    </row>
    <row r="764" ht="14.25" customHeight="1">
      <c r="A764" s="1"/>
      <c r="B764" s="1"/>
      <c r="C764" s="9"/>
    </row>
    <row r="765" ht="14.25" customHeight="1">
      <c r="A765" s="1"/>
      <c r="B765" s="1"/>
      <c r="C765" s="9"/>
    </row>
    <row r="766" ht="14.25" customHeight="1">
      <c r="A766" s="1"/>
      <c r="B766" s="1"/>
      <c r="C766" s="9"/>
    </row>
    <row r="767" ht="14.25" customHeight="1">
      <c r="A767" s="1"/>
      <c r="B767" s="1"/>
      <c r="C767" s="9"/>
    </row>
    <row r="768" ht="14.25" customHeight="1">
      <c r="A768" s="1"/>
      <c r="B768" s="1"/>
      <c r="C768" s="9"/>
    </row>
    <row r="769" ht="14.25" customHeight="1">
      <c r="A769" s="1"/>
      <c r="B769" s="1"/>
      <c r="C769" s="9"/>
    </row>
    <row r="770" ht="14.25" customHeight="1">
      <c r="A770" s="1"/>
      <c r="B770" s="1"/>
      <c r="C770" s="9"/>
    </row>
    <row r="771" ht="14.25" customHeight="1">
      <c r="A771" s="1"/>
      <c r="B771" s="1"/>
      <c r="C771" s="9"/>
    </row>
    <row r="772" ht="14.25" customHeight="1">
      <c r="A772" s="1"/>
      <c r="B772" s="1"/>
      <c r="C772" s="9"/>
    </row>
    <row r="773" ht="14.25" customHeight="1">
      <c r="A773" s="1"/>
      <c r="B773" s="1"/>
      <c r="C773" s="9"/>
    </row>
    <row r="774" ht="14.25" customHeight="1">
      <c r="A774" s="1"/>
      <c r="B774" s="1"/>
      <c r="C774" s="9"/>
    </row>
    <row r="775" ht="14.25" customHeight="1">
      <c r="A775" s="1"/>
      <c r="B775" s="1"/>
      <c r="C775" s="9"/>
    </row>
    <row r="776" ht="14.25" customHeight="1">
      <c r="A776" s="1"/>
      <c r="B776" s="1"/>
      <c r="C776" s="9"/>
    </row>
    <row r="777" ht="14.25" customHeight="1">
      <c r="A777" s="1"/>
      <c r="B777" s="1"/>
      <c r="C777" s="9"/>
    </row>
    <row r="778" ht="14.25" customHeight="1">
      <c r="A778" s="1"/>
      <c r="B778" s="1"/>
      <c r="C778" s="9"/>
    </row>
    <row r="779" ht="14.25" customHeight="1">
      <c r="A779" s="1"/>
      <c r="B779" s="1"/>
      <c r="C779" s="9"/>
    </row>
    <row r="780" ht="14.25" customHeight="1">
      <c r="A780" s="1"/>
      <c r="B780" s="1"/>
      <c r="C780" s="9"/>
    </row>
    <row r="781" ht="14.25" customHeight="1">
      <c r="A781" s="1"/>
      <c r="B781" s="1"/>
      <c r="C781" s="9"/>
    </row>
    <row r="782" ht="14.25" customHeight="1">
      <c r="A782" s="1"/>
      <c r="B782" s="1"/>
      <c r="C782" s="9"/>
    </row>
    <row r="783" ht="14.25" customHeight="1">
      <c r="A783" s="1"/>
      <c r="B783" s="1"/>
      <c r="C783" s="9"/>
    </row>
    <row r="784" ht="14.25" customHeight="1">
      <c r="A784" s="1"/>
      <c r="B784" s="1"/>
      <c r="C784" s="9"/>
    </row>
    <row r="785" ht="14.25" customHeight="1">
      <c r="A785" s="1"/>
      <c r="B785" s="1"/>
      <c r="C785" s="9"/>
    </row>
    <row r="786" ht="14.25" customHeight="1">
      <c r="A786" s="1"/>
      <c r="B786" s="1"/>
      <c r="C786" s="9"/>
    </row>
    <row r="787" ht="14.25" customHeight="1">
      <c r="A787" s="1"/>
      <c r="B787" s="1"/>
      <c r="C787" s="9"/>
    </row>
    <row r="788" ht="14.25" customHeight="1">
      <c r="A788" s="1"/>
      <c r="B788" s="1"/>
      <c r="C788" s="9"/>
    </row>
    <row r="789" ht="14.25" customHeight="1">
      <c r="A789" s="1"/>
      <c r="B789" s="1"/>
      <c r="C789" s="9"/>
    </row>
    <row r="790" ht="14.25" customHeight="1">
      <c r="A790" s="1"/>
      <c r="B790" s="1"/>
      <c r="C790" s="9"/>
    </row>
    <row r="791" ht="14.25" customHeight="1">
      <c r="A791" s="1"/>
      <c r="B791" s="1"/>
      <c r="C791" s="9"/>
    </row>
    <row r="792" ht="14.25" customHeight="1">
      <c r="A792" s="1"/>
      <c r="B792" s="1"/>
      <c r="C792" s="9"/>
    </row>
    <row r="793" ht="14.25" customHeight="1">
      <c r="A793" s="1"/>
      <c r="B793" s="1"/>
      <c r="C793" s="9"/>
    </row>
    <row r="794" ht="14.25" customHeight="1">
      <c r="A794" s="1"/>
      <c r="B794" s="1"/>
      <c r="C794" s="9"/>
    </row>
    <row r="795" ht="14.25" customHeight="1">
      <c r="A795" s="1"/>
      <c r="B795" s="1"/>
      <c r="C795" s="9"/>
    </row>
    <row r="796" ht="14.25" customHeight="1">
      <c r="A796" s="1"/>
      <c r="B796" s="1"/>
      <c r="C796" s="9"/>
    </row>
    <row r="797" ht="14.25" customHeight="1">
      <c r="A797" s="1"/>
      <c r="B797" s="1"/>
      <c r="C797" s="9"/>
    </row>
    <row r="798" ht="14.25" customHeight="1">
      <c r="A798" s="1"/>
      <c r="B798" s="1"/>
      <c r="C798" s="9"/>
    </row>
    <row r="799" ht="14.25" customHeight="1">
      <c r="A799" s="1"/>
      <c r="B799" s="1"/>
      <c r="C799" s="9"/>
    </row>
    <row r="800" ht="14.25" customHeight="1">
      <c r="A800" s="1"/>
      <c r="B800" s="1"/>
      <c r="C800" s="9"/>
    </row>
    <row r="801" ht="14.25" customHeight="1">
      <c r="A801" s="1"/>
      <c r="B801" s="1"/>
      <c r="C801" s="9"/>
    </row>
    <row r="802" ht="14.25" customHeight="1">
      <c r="A802" s="1"/>
      <c r="B802" s="1"/>
      <c r="C802" s="9"/>
    </row>
    <row r="803" ht="14.25" customHeight="1">
      <c r="A803" s="1"/>
      <c r="B803" s="1"/>
      <c r="C803" s="9"/>
    </row>
    <row r="804" ht="14.25" customHeight="1">
      <c r="A804" s="1"/>
      <c r="B804" s="1"/>
      <c r="C804" s="9"/>
    </row>
    <row r="805" ht="14.25" customHeight="1">
      <c r="A805" s="1"/>
      <c r="B805" s="1"/>
      <c r="C805" s="9"/>
    </row>
    <row r="806" ht="14.25" customHeight="1">
      <c r="A806" s="1"/>
      <c r="B806" s="1"/>
      <c r="C806" s="9"/>
    </row>
    <row r="807" ht="14.25" customHeight="1">
      <c r="A807" s="1"/>
      <c r="B807" s="1"/>
      <c r="C807" s="9"/>
    </row>
    <row r="808" ht="14.25" customHeight="1">
      <c r="A808" s="1"/>
      <c r="B808" s="1"/>
      <c r="C808" s="9"/>
    </row>
    <row r="809" ht="14.25" customHeight="1">
      <c r="A809" s="1"/>
      <c r="B809" s="1"/>
      <c r="C809" s="9"/>
    </row>
    <row r="810" ht="14.25" customHeight="1">
      <c r="A810" s="1"/>
      <c r="B810" s="1"/>
      <c r="C810" s="9"/>
    </row>
    <row r="811" ht="14.25" customHeight="1">
      <c r="A811" s="1"/>
      <c r="B811" s="1"/>
      <c r="C811" s="9"/>
    </row>
    <row r="812" ht="14.25" customHeight="1">
      <c r="A812" s="1"/>
      <c r="B812" s="1"/>
      <c r="C812" s="9"/>
    </row>
    <row r="813" ht="14.25" customHeight="1">
      <c r="A813" s="1"/>
      <c r="B813" s="1"/>
      <c r="C813" s="9"/>
    </row>
    <row r="814" ht="14.25" customHeight="1">
      <c r="A814" s="1"/>
      <c r="B814" s="1"/>
      <c r="C814" s="9"/>
    </row>
    <row r="815" ht="14.25" customHeight="1">
      <c r="A815" s="1"/>
      <c r="B815" s="1"/>
      <c r="C815" s="9"/>
    </row>
    <row r="816" ht="14.25" customHeight="1">
      <c r="A816" s="1"/>
      <c r="B816" s="1"/>
      <c r="C816" s="9"/>
    </row>
    <row r="817" ht="14.25" customHeight="1">
      <c r="A817" s="1"/>
      <c r="B817" s="1"/>
      <c r="C817" s="9"/>
    </row>
    <row r="818" ht="14.25" customHeight="1">
      <c r="A818" s="1"/>
      <c r="B818" s="1"/>
      <c r="C818" s="9"/>
    </row>
    <row r="819" ht="14.25" customHeight="1">
      <c r="A819" s="1"/>
      <c r="B819" s="1"/>
      <c r="C819" s="9"/>
    </row>
    <row r="820" ht="14.25" customHeight="1">
      <c r="A820" s="1"/>
      <c r="B820" s="1"/>
      <c r="C820" s="9"/>
    </row>
    <row r="821" ht="14.25" customHeight="1">
      <c r="A821" s="1"/>
      <c r="B821" s="1"/>
      <c r="C821" s="9"/>
    </row>
    <row r="822" ht="14.25" customHeight="1">
      <c r="A822" s="1"/>
      <c r="B822" s="1"/>
      <c r="C822" s="9"/>
    </row>
    <row r="823" ht="14.25" customHeight="1">
      <c r="A823" s="1"/>
      <c r="B823" s="1"/>
      <c r="C823" s="9"/>
    </row>
    <row r="824" ht="14.25" customHeight="1">
      <c r="A824" s="1"/>
      <c r="B824" s="1"/>
      <c r="C824" s="9"/>
    </row>
    <row r="825" ht="14.25" customHeight="1">
      <c r="A825" s="1"/>
      <c r="B825" s="1"/>
      <c r="C825" s="9"/>
    </row>
    <row r="826" ht="14.25" customHeight="1">
      <c r="A826" s="1"/>
      <c r="B826" s="1"/>
      <c r="C826" s="9"/>
    </row>
    <row r="827" ht="14.25" customHeight="1">
      <c r="A827" s="1"/>
      <c r="B827" s="1"/>
      <c r="C827" s="9"/>
    </row>
    <row r="828" ht="14.25" customHeight="1">
      <c r="A828" s="1"/>
      <c r="B828" s="1"/>
      <c r="C828" s="9"/>
    </row>
    <row r="829" ht="14.25" customHeight="1">
      <c r="A829" s="1"/>
      <c r="B829" s="1"/>
      <c r="C829" s="9"/>
    </row>
    <row r="830" ht="14.25" customHeight="1">
      <c r="A830" s="1"/>
      <c r="B830" s="1"/>
      <c r="C830" s="9"/>
    </row>
    <row r="831" ht="14.25" customHeight="1">
      <c r="A831" s="1"/>
      <c r="B831" s="1"/>
      <c r="C831" s="9"/>
    </row>
    <row r="832" ht="14.25" customHeight="1">
      <c r="A832" s="1"/>
      <c r="B832" s="1"/>
      <c r="C832" s="9"/>
    </row>
    <row r="833" ht="14.25" customHeight="1">
      <c r="A833" s="1"/>
      <c r="B833" s="1"/>
      <c r="C833" s="9"/>
    </row>
    <row r="834" ht="14.25" customHeight="1">
      <c r="A834" s="1"/>
      <c r="B834" s="1"/>
      <c r="C834" s="9"/>
    </row>
    <row r="835" ht="14.25" customHeight="1">
      <c r="A835" s="1"/>
      <c r="B835" s="1"/>
      <c r="C835" s="9"/>
    </row>
    <row r="836" ht="14.25" customHeight="1">
      <c r="A836" s="1"/>
      <c r="B836" s="1"/>
      <c r="C836" s="9"/>
    </row>
    <row r="837" ht="14.25" customHeight="1">
      <c r="A837" s="1"/>
      <c r="B837" s="1"/>
      <c r="C837" s="9"/>
    </row>
    <row r="838" ht="14.25" customHeight="1">
      <c r="A838" s="1"/>
      <c r="B838" s="1"/>
      <c r="C838" s="9"/>
    </row>
    <row r="839" ht="14.25" customHeight="1">
      <c r="A839" s="1"/>
      <c r="B839" s="1"/>
      <c r="C839" s="9"/>
    </row>
    <row r="840" ht="14.25" customHeight="1">
      <c r="A840" s="1"/>
      <c r="B840" s="1"/>
      <c r="C840" s="9"/>
    </row>
    <row r="841" ht="14.25" customHeight="1">
      <c r="A841" s="1"/>
      <c r="B841" s="1"/>
      <c r="C841" s="9"/>
    </row>
    <row r="842" ht="14.25" customHeight="1">
      <c r="A842" s="1"/>
      <c r="B842" s="1"/>
      <c r="C842" s="9"/>
    </row>
    <row r="843" ht="14.25" customHeight="1">
      <c r="A843" s="1"/>
      <c r="B843" s="1"/>
      <c r="C843" s="9"/>
    </row>
    <row r="844" ht="14.25" customHeight="1">
      <c r="A844" s="1"/>
      <c r="B844" s="1"/>
      <c r="C844" s="9"/>
    </row>
    <row r="845" ht="14.25" customHeight="1">
      <c r="A845" s="1"/>
      <c r="B845" s="1"/>
      <c r="C845" s="9"/>
    </row>
    <row r="846" ht="14.25" customHeight="1">
      <c r="A846" s="1"/>
      <c r="B846" s="1"/>
      <c r="C846" s="9"/>
    </row>
    <row r="847" ht="14.25" customHeight="1">
      <c r="A847" s="1"/>
      <c r="B847" s="1"/>
      <c r="C847" s="9"/>
    </row>
    <row r="848" ht="14.25" customHeight="1">
      <c r="A848" s="1"/>
      <c r="B848" s="1"/>
      <c r="C848" s="9"/>
    </row>
    <row r="849" ht="14.25" customHeight="1">
      <c r="A849" s="1"/>
      <c r="B849" s="1"/>
      <c r="C849" s="9"/>
    </row>
    <row r="850" ht="14.25" customHeight="1">
      <c r="A850" s="1"/>
      <c r="B850" s="1"/>
      <c r="C850" s="9"/>
    </row>
    <row r="851" ht="14.25" customHeight="1">
      <c r="A851" s="1"/>
      <c r="B851" s="1"/>
      <c r="C851" s="9"/>
    </row>
    <row r="852" ht="14.25" customHeight="1">
      <c r="A852" s="1"/>
      <c r="B852" s="1"/>
      <c r="C852" s="9"/>
    </row>
    <row r="853" ht="14.25" customHeight="1">
      <c r="A853" s="1"/>
      <c r="B853" s="1"/>
      <c r="C853" s="9"/>
    </row>
    <row r="854" ht="14.25" customHeight="1">
      <c r="A854" s="1"/>
      <c r="B854" s="1"/>
      <c r="C854" s="9"/>
    </row>
    <row r="855" ht="14.25" customHeight="1">
      <c r="A855" s="1"/>
      <c r="B855" s="1"/>
      <c r="C855" s="9"/>
    </row>
    <row r="856" ht="14.25" customHeight="1">
      <c r="A856" s="1"/>
      <c r="B856" s="1"/>
      <c r="C856" s="9"/>
    </row>
    <row r="857" ht="14.25" customHeight="1">
      <c r="A857" s="1"/>
      <c r="B857" s="1"/>
      <c r="C857" s="9"/>
    </row>
    <row r="858" ht="14.25" customHeight="1">
      <c r="A858" s="1"/>
      <c r="B858" s="1"/>
      <c r="C858" s="9"/>
    </row>
    <row r="859" ht="14.25" customHeight="1">
      <c r="A859" s="1"/>
      <c r="B859" s="1"/>
      <c r="C859" s="9"/>
    </row>
    <row r="860" ht="14.25" customHeight="1">
      <c r="A860" s="1"/>
      <c r="B860" s="1"/>
      <c r="C860" s="9"/>
    </row>
    <row r="861" ht="14.25" customHeight="1">
      <c r="A861" s="1"/>
      <c r="B861" s="1"/>
      <c r="C861" s="9"/>
    </row>
    <row r="862" ht="14.25" customHeight="1">
      <c r="A862" s="1"/>
      <c r="B862" s="1"/>
      <c r="C862" s="9"/>
    </row>
    <row r="863" ht="14.25" customHeight="1">
      <c r="A863" s="1"/>
      <c r="B863" s="1"/>
      <c r="C863" s="9"/>
    </row>
    <row r="864" ht="14.25" customHeight="1">
      <c r="A864" s="1"/>
      <c r="B864" s="1"/>
      <c r="C864" s="9"/>
    </row>
    <row r="865" ht="14.25" customHeight="1">
      <c r="A865" s="1"/>
      <c r="B865" s="1"/>
      <c r="C865" s="9"/>
    </row>
    <row r="866" ht="14.25" customHeight="1">
      <c r="A866" s="1"/>
      <c r="B866" s="1"/>
      <c r="C866" s="9"/>
    </row>
    <row r="867" ht="14.25" customHeight="1">
      <c r="A867" s="1"/>
      <c r="B867" s="1"/>
      <c r="C867" s="9"/>
    </row>
    <row r="868" ht="14.25" customHeight="1">
      <c r="A868" s="1"/>
      <c r="B868" s="1"/>
      <c r="C868" s="9"/>
    </row>
    <row r="869" ht="14.25" customHeight="1">
      <c r="A869" s="1"/>
      <c r="B869" s="1"/>
      <c r="C869" s="9"/>
    </row>
    <row r="870" ht="14.25" customHeight="1">
      <c r="A870" s="1"/>
      <c r="B870" s="1"/>
      <c r="C870" s="9"/>
    </row>
    <row r="871" ht="14.25" customHeight="1">
      <c r="A871" s="1"/>
      <c r="B871" s="1"/>
      <c r="C871" s="9"/>
    </row>
    <row r="872" ht="14.25" customHeight="1">
      <c r="A872" s="1"/>
      <c r="B872" s="1"/>
      <c r="C872" s="9"/>
    </row>
    <row r="873" ht="14.25" customHeight="1">
      <c r="A873" s="1"/>
      <c r="B873" s="1"/>
      <c r="C873" s="9"/>
    </row>
    <row r="874" ht="14.25" customHeight="1">
      <c r="A874" s="1"/>
      <c r="B874" s="1"/>
      <c r="C874" s="9"/>
    </row>
    <row r="875" ht="14.25" customHeight="1">
      <c r="A875" s="1"/>
      <c r="B875" s="1"/>
      <c r="C875" s="9"/>
    </row>
    <row r="876" ht="14.25" customHeight="1">
      <c r="A876" s="1"/>
      <c r="B876" s="1"/>
      <c r="C876" s="9"/>
    </row>
    <row r="877" ht="14.25" customHeight="1">
      <c r="A877" s="1"/>
      <c r="B877" s="1"/>
      <c r="C877" s="9"/>
    </row>
    <row r="878" ht="14.25" customHeight="1">
      <c r="A878" s="1"/>
      <c r="B878" s="1"/>
      <c r="C878" s="9"/>
    </row>
    <row r="879" ht="14.25" customHeight="1">
      <c r="A879" s="1"/>
      <c r="B879" s="1"/>
      <c r="C879" s="9"/>
    </row>
    <row r="880" ht="14.25" customHeight="1">
      <c r="A880" s="1"/>
      <c r="B880" s="1"/>
      <c r="C880" s="9"/>
    </row>
    <row r="881" ht="14.25" customHeight="1">
      <c r="A881" s="1"/>
      <c r="B881" s="1"/>
      <c r="C881" s="9"/>
    </row>
    <row r="882" ht="14.25" customHeight="1">
      <c r="A882" s="1"/>
      <c r="B882" s="1"/>
      <c r="C882" s="9"/>
    </row>
    <row r="883" ht="14.25" customHeight="1">
      <c r="A883" s="1"/>
      <c r="B883" s="1"/>
      <c r="C883" s="9"/>
    </row>
    <row r="884" ht="14.25" customHeight="1">
      <c r="A884" s="1"/>
      <c r="B884" s="1"/>
      <c r="C884" s="9"/>
    </row>
    <row r="885" ht="14.25" customHeight="1">
      <c r="A885" s="1"/>
      <c r="B885" s="1"/>
      <c r="C885" s="9"/>
    </row>
    <row r="886" ht="14.25" customHeight="1">
      <c r="A886" s="1"/>
      <c r="B886" s="1"/>
      <c r="C886" s="9"/>
    </row>
    <row r="887" ht="14.25" customHeight="1">
      <c r="A887" s="1"/>
      <c r="B887" s="1"/>
      <c r="C887" s="9"/>
    </row>
    <row r="888" ht="14.25" customHeight="1">
      <c r="A888" s="1"/>
      <c r="B888" s="1"/>
      <c r="C888" s="9"/>
    </row>
    <row r="889" ht="14.25" customHeight="1">
      <c r="A889" s="1"/>
      <c r="B889" s="1"/>
      <c r="C889" s="9"/>
    </row>
    <row r="890" ht="14.25" customHeight="1">
      <c r="A890" s="1"/>
      <c r="B890" s="1"/>
      <c r="C890" s="9"/>
    </row>
    <row r="891" ht="14.25" customHeight="1">
      <c r="A891" s="1"/>
      <c r="B891" s="1"/>
      <c r="C891" s="9"/>
    </row>
    <row r="892" ht="14.25" customHeight="1">
      <c r="A892" s="1"/>
      <c r="B892" s="1"/>
      <c r="C892" s="9"/>
    </row>
    <row r="893" ht="14.25" customHeight="1">
      <c r="A893" s="1"/>
      <c r="B893" s="1"/>
      <c r="C893" s="9"/>
    </row>
    <row r="894" ht="14.25" customHeight="1">
      <c r="A894" s="1"/>
      <c r="B894" s="1"/>
      <c r="C894" s="9"/>
    </row>
    <row r="895" ht="14.25" customHeight="1">
      <c r="A895" s="1"/>
      <c r="B895" s="1"/>
      <c r="C895" s="9"/>
    </row>
    <row r="896" ht="14.25" customHeight="1">
      <c r="A896" s="1"/>
      <c r="B896" s="1"/>
      <c r="C896" s="9"/>
    </row>
    <row r="897" ht="14.25" customHeight="1">
      <c r="A897" s="1"/>
      <c r="B897" s="1"/>
      <c r="C897" s="9"/>
    </row>
    <row r="898" ht="14.25" customHeight="1">
      <c r="A898" s="1"/>
      <c r="B898" s="1"/>
      <c r="C898" s="9"/>
    </row>
    <row r="899" ht="14.25" customHeight="1">
      <c r="A899" s="1"/>
      <c r="B899" s="1"/>
      <c r="C899" s="9"/>
    </row>
    <row r="900" ht="14.25" customHeight="1">
      <c r="A900" s="1"/>
      <c r="B900" s="1"/>
      <c r="C900" s="9"/>
    </row>
    <row r="901" ht="14.25" customHeight="1">
      <c r="A901" s="1"/>
      <c r="B901" s="1"/>
      <c r="C901" s="9"/>
    </row>
    <row r="902" ht="14.25" customHeight="1">
      <c r="A902" s="1"/>
      <c r="B902" s="1"/>
      <c r="C902" s="9"/>
    </row>
    <row r="903" ht="14.25" customHeight="1">
      <c r="A903" s="1"/>
      <c r="B903" s="1"/>
      <c r="C903" s="9"/>
    </row>
    <row r="904" ht="14.25" customHeight="1">
      <c r="A904" s="1"/>
      <c r="B904" s="1"/>
      <c r="C904" s="9"/>
    </row>
    <row r="905" ht="14.25" customHeight="1">
      <c r="A905" s="1"/>
      <c r="B905" s="1"/>
      <c r="C905" s="9"/>
    </row>
    <row r="906" ht="14.25" customHeight="1">
      <c r="A906" s="1"/>
      <c r="B906" s="1"/>
      <c r="C906" s="9"/>
    </row>
    <row r="907" ht="14.25" customHeight="1">
      <c r="A907" s="1"/>
      <c r="B907" s="1"/>
      <c r="C907" s="9"/>
    </row>
    <row r="908" ht="14.25" customHeight="1">
      <c r="A908" s="1"/>
      <c r="B908" s="1"/>
      <c r="C908" s="9"/>
    </row>
    <row r="909" ht="14.25" customHeight="1">
      <c r="A909" s="1"/>
      <c r="B909" s="1"/>
      <c r="C909" s="9"/>
    </row>
    <row r="910" ht="14.25" customHeight="1">
      <c r="A910" s="1"/>
      <c r="B910" s="1"/>
      <c r="C910" s="9"/>
    </row>
    <row r="911" ht="14.25" customHeight="1">
      <c r="A911" s="1"/>
      <c r="B911" s="1"/>
      <c r="C911" s="9"/>
    </row>
    <row r="912" ht="14.25" customHeight="1">
      <c r="A912" s="1"/>
      <c r="B912" s="1"/>
      <c r="C912" s="9"/>
    </row>
    <row r="913" ht="14.25" customHeight="1">
      <c r="A913" s="1"/>
      <c r="B913" s="1"/>
      <c r="C913" s="9"/>
    </row>
    <row r="914" ht="14.25" customHeight="1">
      <c r="A914" s="1"/>
      <c r="B914" s="1"/>
      <c r="C914" s="9"/>
    </row>
    <row r="915" ht="14.25" customHeight="1">
      <c r="A915" s="1"/>
      <c r="B915" s="1"/>
      <c r="C915" s="9"/>
    </row>
    <row r="916" ht="14.25" customHeight="1">
      <c r="A916" s="1"/>
      <c r="B916" s="1"/>
      <c r="C916" s="9"/>
    </row>
    <row r="917" ht="14.25" customHeight="1">
      <c r="A917" s="1"/>
      <c r="B917" s="1"/>
      <c r="C917" s="9"/>
    </row>
    <row r="918" ht="14.25" customHeight="1">
      <c r="A918" s="1"/>
      <c r="B918" s="1"/>
      <c r="C918" s="9"/>
    </row>
    <row r="919" ht="14.25" customHeight="1">
      <c r="A919" s="1"/>
      <c r="B919" s="1"/>
      <c r="C919" s="9"/>
    </row>
    <row r="920" ht="14.25" customHeight="1">
      <c r="A920" s="1"/>
      <c r="B920" s="1"/>
      <c r="C920" s="9"/>
    </row>
    <row r="921" ht="14.25" customHeight="1">
      <c r="A921" s="1"/>
      <c r="B921" s="1"/>
      <c r="C921" s="9"/>
    </row>
    <row r="922" ht="14.25" customHeight="1">
      <c r="A922" s="1"/>
      <c r="B922" s="1"/>
      <c r="C922" s="9"/>
    </row>
    <row r="923" ht="14.25" customHeight="1">
      <c r="A923" s="1"/>
      <c r="B923" s="1"/>
      <c r="C923" s="9"/>
    </row>
    <row r="924" ht="14.25" customHeight="1">
      <c r="A924" s="1"/>
      <c r="B924" s="1"/>
      <c r="C924" s="9"/>
    </row>
    <row r="925" ht="14.25" customHeight="1">
      <c r="A925" s="1"/>
      <c r="B925" s="1"/>
      <c r="C925" s="9"/>
    </row>
    <row r="926" ht="14.25" customHeight="1">
      <c r="A926" s="1"/>
      <c r="B926" s="1"/>
      <c r="C926" s="9"/>
    </row>
    <row r="927" ht="14.25" customHeight="1">
      <c r="A927" s="1"/>
      <c r="B927" s="1"/>
      <c r="C927" s="9"/>
    </row>
    <row r="928" ht="14.25" customHeight="1">
      <c r="A928" s="1"/>
      <c r="B928" s="1"/>
      <c r="C928" s="9"/>
    </row>
    <row r="929" ht="14.25" customHeight="1">
      <c r="A929" s="1"/>
      <c r="B929" s="1"/>
      <c r="C929" s="9"/>
    </row>
    <row r="930" ht="14.25" customHeight="1">
      <c r="A930" s="1"/>
      <c r="B930" s="1"/>
      <c r="C930" s="9"/>
    </row>
    <row r="931" ht="14.25" customHeight="1">
      <c r="A931" s="1"/>
      <c r="B931" s="1"/>
      <c r="C931" s="9"/>
    </row>
    <row r="932" ht="14.25" customHeight="1">
      <c r="A932" s="1"/>
      <c r="B932" s="1"/>
      <c r="C932" s="9"/>
    </row>
    <row r="933" ht="14.25" customHeight="1">
      <c r="A933" s="1"/>
      <c r="B933" s="1"/>
      <c r="C933" s="9"/>
    </row>
    <row r="934" ht="14.25" customHeight="1">
      <c r="A934" s="1"/>
      <c r="B934" s="1"/>
      <c r="C934" s="9"/>
    </row>
    <row r="935" ht="14.25" customHeight="1">
      <c r="A935" s="1"/>
      <c r="B935" s="1"/>
      <c r="C935" s="9"/>
    </row>
    <row r="936" ht="14.25" customHeight="1">
      <c r="A936" s="1"/>
      <c r="B936" s="1"/>
      <c r="C936" s="9"/>
    </row>
    <row r="937" ht="14.25" customHeight="1">
      <c r="A937" s="1"/>
      <c r="B937" s="1"/>
      <c r="C937" s="9"/>
    </row>
    <row r="938" ht="14.25" customHeight="1">
      <c r="A938" s="1"/>
      <c r="B938" s="1"/>
      <c r="C938" s="9"/>
    </row>
    <row r="939" ht="14.25" customHeight="1">
      <c r="A939" s="1"/>
      <c r="B939" s="1"/>
      <c r="C939" s="9"/>
    </row>
    <row r="940" ht="14.25" customHeight="1">
      <c r="A940" s="1"/>
      <c r="B940" s="1"/>
      <c r="C940" s="9"/>
    </row>
    <row r="941" ht="14.25" customHeight="1">
      <c r="A941" s="1"/>
      <c r="B941" s="1"/>
      <c r="C941" s="9"/>
    </row>
    <row r="942" ht="14.25" customHeight="1">
      <c r="A942" s="1"/>
      <c r="B942" s="1"/>
      <c r="C942" s="9"/>
    </row>
    <row r="943" ht="14.25" customHeight="1">
      <c r="A943" s="1"/>
      <c r="B943" s="1"/>
      <c r="C943" s="9"/>
    </row>
    <row r="944" ht="14.25" customHeight="1">
      <c r="A944" s="1"/>
      <c r="B944" s="1"/>
      <c r="C944" s="9"/>
    </row>
    <row r="945" ht="14.25" customHeight="1">
      <c r="A945" s="1"/>
      <c r="B945" s="1"/>
      <c r="C945" s="9"/>
    </row>
    <row r="946" ht="14.25" customHeight="1">
      <c r="A946" s="1"/>
      <c r="B946" s="1"/>
      <c r="C946" s="9"/>
    </row>
    <row r="947" ht="14.25" customHeight="1">
      <c r="A947" s="1"/>
      <c r="B947" s="1"/>
      <c r="C947" s="9"/>
    </row>
    <row r="948" ht="14.25" customHeight="1">
      <c r="A948" s="1"/>
      <c r="B948" s="1"/>
      <c r="C948" s="9"/>
    </row>
    <row r="949" ht="14.25" customHeight="1">
      <c r="A949" s="1"/>
      <c r="B949" s="1"/>
      <c r="C949" s="9"/>
    </row>
    <row r="950" ht="14.25" customHeight="1">
      <c r="A950" s="1"/>
      <c r="B950" s="1"/>
      <c r="C950" s="9"/>
    </row>
    <row r="951" ht="14.25" customHeight="1">
      <c r="A951" s="1"/>
      <c r="B951" s="1"/>
      <c r="C951" s="9"/>
    </row>
    <row r="952" ht="14.25" customHeight="1">
      <c r="A952" s="1"/>
      <c r="B952" s="1"/>
      <c r="C952" s="9"/>
    </row>
    <row r="953" ht="14.25" customHeight="1">
      <c r="A953" s="1"/>
      <c r="B953" s="1"/>
      <c r="C953" s="9"/>
    </row>
    <row r="954" ht="14.25" customHeight="1">
      <c r="A954" s="1"/>
      <c r="B954" s="1"/>
      <c r="C954" s="9"/>
    </row>
    <row r="955" ht="14.25" customHeight="1">
      <c r="A955" s="1"/>
      <c r="B955" s="1"/>
      <c r="C955" s="9"/>
    </row>
    <row r="956" ht="14.25" customHeight="1">
      <c r="A956" s="1"/>
      <c r="B956" s="1"/>
      <c r="C956" s="9"/>
    </row>
    <row r="957" ht="14.25" customHeight="1">
      <c r="A957" s="1"/>
      <c r="B957" s="1"/>
      <c r="C957" s="9"/>
    </row>
    <row r="958" ht="14.25" customHeight="1">
      <c r="A958" s="1"/>
      <c r="B958" s="1"/>
      <c r="C958" s="9"/>
    </row>
    <row r="959" ht="14.25" customHeight="1">
      <c r="A959" s="1"/>
      <c r="B959" s="1"/>
      <c r="C959" s="9"/>
    </row>
    <row r="960" ht="14.25" customHeight="1">
      <c r="A960" s="1"/>
      <c r="B960" s="1"/>
      <c r="C960" s="9"/>
    </row>
    <row r="961" ht="14.25" customHeight="1">
      <c r="A961" s="1"/>
      <c r="B961" s="1"/>
      <c r="C961" s="9"/>
    </row>
    <row r="962" ht="14.25" customHeight="1">
      <c r="A962" s="1"/>
      <c r="B962" s="1"/>
      <c r="C962" s="9"/>
    </row>
    <row r="963" ht="14.25" customHeight="1">
      <c r="A963" s="1"/>
      <c r="B963" s="1"/>
      <c r="C963" s="9"/>
    </row>
    <row r="964" ht="14.25" customHeight="1">
      <c r="A964" s="1"/>
      <c r="B964" s="1"/>
      <c r="C964" s="9"/>
    </row>
    <row r="965" ht="14.25" customHeight="1">
      <c r="A965" s="1"/>
      <c r="B965" s="1"/>
      <c r="C965" s="9"/>
    </row>
    <row r="966" ht="14.25" customHeight="1">
      <c r="A966" s="1"/>
      <c r="B966" s="1"/>
      <c r="C966" s="9"/>
    </row>
    <row r="967" ht="14.25" customHeight="1">
      <c r="A967" s="1"/>
      <c r="B967" s="1"/>
      <c r="C967" s="9"/>
    </row>
    <row r="968" ht="14.25" customHeight="1">
      <c r="A968" s="1"/>
      <c r="B968" s="1"/>
      <c r="C968" s="9"/>
    </row>
    <row r="969" ht="14.25" customHeight="1">
      <c r="A969" s="1"/>
      <c r="B969" s="1"/>
      <c r="C969" s="9"/>
    </row>
    <row r="970" ht="14.25" customHeight="1">
      <c r="A970" s="1"/>
      <c r="B970" s="1"/>
      <c r="C970" s="9"/>
    </row>
    <row r="971" ht="14.25" customHeight="1">
      <c r="A971" s="1"/>
      <c r="B971" s="1"/>
      <c r="C971" s="9"/>
    </row>
    <row r="972" ht="14.25" customHeight="1">
      <c r="A972" s="1"/>
      <c r="B972" s="1"/>
      <c r="C972" s="9"/>
    </row>
    <row r="973" ht="14.25" customHeight="1">
      <c r="A973" s="1"/>
      <c r="B973" s="1"/>
      <c r="C973" s="9"/>
    </row>
    <row r="974" ht="14.25" customHeight="1">
      <c r="A974" s="1"/>
      <c r="B974" s="1"/>
      <c r="C974" s="9"/>
    </row>
    <row r="975" ht="14.25" customHeight="1">
      <c r="A975" s="1"/>
      <c r="B975" s="1"/>
      <c r="C975" s="9"/>
    </row>
    <row r="976" ht="14.25" customHeight="1">
      <c r="A976" s="1"/>
      <c r="B976" s="1"/>
      <c r="C976" s="9"/>
    </row>
    <row r="977" ht="14.25" customHeight="1">
      <c r="A977" s="1"/>
      <c r="B977" s="1"/>
      <c r="C977" s="9"/>
    </row>
    <row r="978" ht="14.25" customHeight="1">
      <c r="A978" s="1"/>
      <c r="B978" s="1"/>
      <c r="C978" s="9"/>
    </row>
    <row r="979" ht="14.25" customHeight="1">
      <c r="A979" s="1"/>
      <c r="B979" s="1"/>
      <c r="C979" s="9"/>
    </row>
    <row r="980" ht="14.25" customHeight="1">
      <c r="A980" s="1"/>
      <c r="B980" s="1"/>
      <c r="C980" s="9"/>
    </row>
    <row r="981" ht="14.25" customHeight="1">
      <c r="A981" s="1"/>
      <c r="B981" s="1"/>
      <c r="C981" s="9"/>
    </row>
    <row r="982" ht="14.25" customHeight="1">
      <c r="A982" s="1"/>
      <c r="B982" s="1"/>
      <c r="C982" s="9"/>
    </row>
    <row r="983" ht="14.25" customHeight="1">
      <c r="A983" s="1"/>
      <c r="B983" s="1"/>
      <c r="C983" s="9"/>
    </row>
    <row r="984" ht="14.25" customHeight="1">
      <c r="A984" s="1"/>
      <c r="B984" s="1"/>
      <c r="C984" s="9"/>
    </row>
    <row r="985" ht="14.25" customHeight="1">
      <c r="A985" s="1"/>
      <c r="B985" s="1"/>
      <c r="C985" s="9"/>
    </row>
    <row r="986" ht="14.25" customHeight="1">
      <c r="A986" s="1"/>
      <c r="B986" s="1"/>
      <c r="C986" s="9"/>
    </row>
    <row r="987" ht="14.25" customHeight="1">
      <c r="A987" s="1"/>
      <c r="B987" s="1"/>
      <c r="C987" s="9"/>
    </row>
    <row r="988" ht="14.25" customHeight="1">
      <c r="A988" s="1"/>
      <c r="B988" s="1"/>
      <c r="C988" s="9"/>
    </row>
    <row r="989" ht="14.25" customHeight="1">
      <c r="A989" s="1"/>
      <c r="B989" s="1"/>
      <c r="C989" s="9"/>
    </row>
    <row r="990" ht="14.25" customHeight="1">
      <c r="A990" s="1"/>
      <c r="B990" s="1"/>
      <c r="C990" s="9"/>
    </row>
    <row r="991" ht="14.25" customHeight="1">
      <c r="A991" s="1"/>
      <c r="B991" s="1"/>
      <c r="C991" s="9"/>
    </row>
    <row r="992" ht="14.25" customHeight="1">
      <c r="A992" s="1"/>
      <c r="B992" s="1"/>
      <c r="C992" s="9"/>
    </row>
    <row r="993" ht="14.25" customHeight="1">
      <c r="A993" s="1"/>
      <c r="B993" s="1"/>
      <c r="C993" s="9"/>
    </row>
    <row r="994" ht="14.25" customHeight="1">
      <c r="A994" s="1"/>
      <c r="B994" s="1"/>
      <c r="C994" s="9"/>
    </row>
    <row r="995" ht="14.25" customHeight="1">
      <c r="A995" s="1"/>
      <c r="B995" s="1"/>
      <c r="C995" s="9"/>
    </row>
    <row r="996" ht="14.25" customHeight="1">
      <c r="A996" s="1"/>
      <c r="B996" s="1"/>
      <c r="C996" s="9"/>
    </row>
    <row r="997" ht="14.25" customHeight="1">
      <c r="A997" s="1"/>
      <c r="B997" s="1"/>
      <c r="C997" s="9"/>
    </row>
    <row r="998" ht="14.25" customHeight="1">
      <c r="A998" s="1"/>
      <c r="B998" s="1"/>
      <c r="C998" s="9"/>
    </row>
    <row r="999" ht="14.25" customHeight="1">
      <c r="A999" s="1"/>
      <c r="B999" s="1"/>
      <c r="C999" s="9"/>
    </row>
    <row r="1000" ht="14.25" customHeight="1">
      <c r="A1000" s="1"/>
      <c r="B1000" s="1"/>
      <c r="C1000" s="9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Row="1"/>
  <cols>
    <col customWidth="1" min="1" max="1" width="1.86"/>
    <col customWidth="1" min="2" max="2" width="30.0"/>
    <col customWidth="1" min="3" max="17" width="15.86"/>
    <col customWidth="1" min="18" max="19" width="13.43"/>
    <col customWidth="1" min="20" max="21" width="8.71"/>
    <col customWidth="1" min="22" max="22" width="13.86"/>
    <col customWidth="1" min="23" max="26" width="8.71"/>
  </cols>
  <sheetData>
    <row r="1" ht="14.25" customHeight="1">
      <c r="B1" s="10">
        <v>1.0</v>
      </c>
      <c r="C1" s="10">
        <f t="shared" ref="C1:Q1" si="1">B1+1</f>
        <v>2</v>
      </c>
      <c r="D1" s="10">
        <f t="shared" si="1"/>
        <v>3</v>
      </c>
      <c r="E1" s="10">
        <f t="shared" si="1"/>
        <v>4</v>
      </c>
      <c r="F1" s="10">
        <f t="shared" si="1"/>
        <v>5</v>
      </c>
      <c r="G1" s="10">
        <f t="shared" si="1"/>
        <v>6</v>
      </c>
      <c r="H1" s="10">
        <f t="shared" si="1"/>
        <v>7</v>
      </c>
      <c r="I1" s="10">
        <f t="shared" si="1"/>
        <v>8</v>
      </c>
      <c r="J1" s="10">
        <f t="shared" si="1"/>
        <v>9</v>
      </c>
      <c r="K1" s="10">
        <f t="shared" si="1"/>
        <v>10</v>
      </c>
      <c r="L1" s="10">
        <f t="shared" si="1"/>
        <v>11</v>
      </c>
      <c r="M1" s="10">
        <f t="shared" si="1"/>
        <v>12</v>
      </c>
      <c r="N1" s="10">
        <f t="shared" si="1"/>
        <v>13</v>
      </c>
      <c r="O1" s="10">
        <f t="shared" si="1"/>
        <v>14</v>
      </c>
      <c r="P1" s="10">
        <f t="shared" si="1"/>
        <v>15</v>
      </c>
      <c r="Q1" s="10">
        <f t="shared" si="1"/>
        <v>16</v>
      </c>
      <c r="R1" s="11"/>
    </row>
    <row r="2" ht="14.25" customHeight="1">
      <c r="B2" s="10" t="s">
        <v>29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1"/>
    </row>
    <row r="3" ht="14.25" customHeight="1">
      <c r="R3" s="11"/>
    </row>
    <row r="4" ht="14.25" customHeight="1">
      <c r="C4" s="13" t="s">
        <v>30</v>
      </c>
      <c r="D4" s="13" t="s">
        <v>31</v>
      </c>
      <c r="E4" s="13" t="s">
        <v>32</v>
      </c>
      <c r="F4" s="13" t="s">
        <v>33</v>
      </c>
      <c r="G4" s="13" t="s">
        <v>34</v>
      </c>
      <c r="H4" s="13" t="s">
        <v>35</v>
      </c>
      <c r="I4" s="13" t="s">
        <v>36</v>
      </c>
      <c r="J4" s="13" t="s">
        <v>37</v>
      </c>
      <c r="K4" s="13" t="s">
        <v>38</v>
      </c>
      <c r="L4" s="13" t="s">
        <v>39</v>
      </c>
      <c r="M4" s="13" t="s">
        <v>40</v>
      </c>
      <c r="N4" s="13" t="s">
        <v>41</v>
      </c>
      <c r="O4" s="13" t="s">
        <v>42</v>
      </c>
      <c r="P4" s="13" t="s">
        <v>43</v>
      </c>
      <c r="Q4" s="13" t="s">
        <v>44</v>
      </c>
      <c r="R4" s="11"/>
    </row>
    <row r="5" ht="14.25" customHeight="1">
      <c r="A5" s="10" t="s">
        <v>45</v>
      </c>
      <c r="B5" s="14" t="s">
        <v>46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1"/>
      <c r="S5" s="10" t="str">
        <f>IF(Universal!printer_index&lt;13,"","AquaFuse")</f>
        <v/>
      </c>
    </row>
    <row r="6" ht="14.25" customHeight="1">
      <c r="B6" s="10" t="s">
        <v>47</v>
      </c>
      <c r="C6" s="16">
        <v>1.167</v>
      </c>
      <c r="D6" s="16">
        <v>1.167</v>
      </c>
      <c r="E6" s="16">
        <v>1.167</v>
      </c>
      <c r="F6" s="16">
        <v>1.167</v>
      </c>
      <c r="G6" s="16">
        <v>1.167</v>
      </c>
      <c r="H6" s="16">
        <v>1.167</v>
      </c>
      <c r="I6" s="16">
        <v>1.167</v>
      </c>
      <c r="J6" s="16">
        <v>1.167</v>
      </c>
      <c r="K6" s="16">
        <v>1.167</v>
      </c>
      <c r="L6" s="16">
        <f>VLOOKUP(Universal!material_sel,Layer_defaults!$A$2:$E$22,3,FALSE)</f>
        <v>1.16</v>
      </c>
      <c r="M6" s="16">
        <f>VLOOKUP(Universal!material_sel,Layer_defaults!$A$2:$E$22,3,FALSE)</f>
        <v>1.16</v>
      </c>
      <c r="N6" s="16">
        <f>VLOOKUP(Universal!material_sel,Layer_defaults!$A$2:$E$22,3,FALSE)</f>
        <v>1.16</v>
      </c>
      <c r="O6" s="17">
        <v>1.18</v>
      </c>
      <c r="P6" s="17">
        <v>1.18</v>
      </c>
      <c r="Q6" s="17">
        <v>1.18</v>
      </c>
      <c r="R6" s="11"/>
      <c r="S6" s="10" t="str">
        <f>IF(Universal!printer_index&lt;13,"","CleanFuse")</f>
        <v/>
      </c>
    </row>
    <row r="7" ht="14.25" customHeight="1">
      <c r="B7" s="10" t="s">
        <v>48</v>
      </c>
      <c r="C7" s="16">
        <v>1.174</v>
      </c>
      <c r="D7" s="16">
        <v>1.174</v>
      </c>
      <c r="E7" s="16">
        <v>1.174</v>
      </c>
      <c r="F7" s="16">
        <v>1.174</v>
      </c>
      <c r="G7" s="16">
        <v>1.174</v>
      </c>
      <c r="H7" s="16">
        <v>1.174</v>
      </c>
      <c r="I7" s="16">
        <v>1.174</v>
      </c>
      <c r="J7" s="16">
        <v>1.174</v>
      </c>
      <c r="K7" s="16">
        <v>1.174</v>
      </c>
      <c r="L7" s="16">
        <f>VLOOKUP(Universal!material_sel,Layer_defaults!$A$2:$E$22,4,FALSE)</f>
        <v>1.165</v>
      </c>
      <c r="M7" s="16">
        <f>VLOOKUP(Universal!material_sel,Layer_defaults!$A$2:$E$22,4,FALSE)</f>
        <v>1.165</v>
      </c>
      <c r="N7" s="16">
        <f>VLOOKUP(Universal!material_sel,Layer_defaults!$A$2:$E$22,4,FALSE)</f>
        <v>1.165</v>
      </c>
      <c r="O7" s="17">
        <v>1.18</v>
      </c>
      <c r="P7" s="17">
        <v>1.18</v>
      </c>
      <c r="Q7" s="17">
        <v>1.18</v>
      </c>
      <c r="R7" s="11"/>
      <c r="S7" s="10" t="str">
        <f>IF(Universal!printer_index&lt;13,"","FluidFuse")</f>
        <v/>
      </c>
    </row>
    <row r="8" ht="14.25" customHeight="1">
      <c r="B8" s="10" t="s">
        <v>49</v>
      </c>
      <c r="C8" s="16">
        <v>1.21</v>
      </c>
      <c r="D8" s="16">
        <v>1.21</v>
      </c>
      <c r="E8" s="16">
        <v>1.21</v>
      </c>
      <c r="F8" s="16">
        <v>1.21</v>
      </c>
      <c r="G8" s="16">
        <v>1.21</v>
      </c>
      <c r="H8" s="16">
        <v>1.21</v>
      </c>
      <c r="I8" s="16">
        <v>1.21</v>
      </c>
      <c r="J8" s="16">
        <v>1.21</v>
      </c>
      <c r="K8" s="16">
        <v>1.21</v>
      </c>
      <c r="L8" s="16">
        <f>VLOOKUP(Universal!material_sel,Layer_defaults!$A$2:$E$22,5,FALSE)</f>
        <v>1.18</v>
      </c>
      <c r="M8" s="16">
        <f>VLOOKUP(Universal!material_sel,Layer_defaults!$A$2:$E$22,5,FALSE)</f>
        <v>1.18</v>
      </c>
      <c r="N8" s="16">
        <f>VLOOKUP(Universal!material_sel,Layer_defaults!$A$2:$E$22,5,FALSE)</f>
        <v>1.18</v>
      </c>
      <c r="O8" s="17">
        <v>1.18</v>
      </c>
      <c r="P8" s="17">
        <v>1.18</v>
      </c>
      <c r="Q8" s="17">
        <v>1.18</v>
      </c>
      <c r="R8" s="11"/>
      <c r="S8" s="10" t="str">
        <f>IF(Universal!printer_index&lt;13,"","PhenolFuse")</f>
        <v/>
      </c>
    </row>
    <row r="9" ht="14.25" customHeight="1">
      <c r="A9" s="10" t="s">
        <v>45</v>
      </c>
      <c r="B9" s="14" t="s">
        <v>50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1"/>
      <c r="S9" s="10" t="str">
        <f>IF(Universal!printer_index&lt;13,"","TurboFuse")</f>
        <v/>
      </c>
    </row>
    <row r="10" ht="14.25" customHeight="1">
      <c r="B10" s="10" t="s">
        <v>51</v>
      </c>
      <c r="C10" s="18">
        <v>26.0</v>
      </c>
      <c r="D10" s="18">
        <v>26.0</v>
      </c>
      <c r="E10" s="18">
        <v>26.0</v>
      </c>
      <c r="F10" s="18">
        <v>26.0</v>
      </c>
      <c r="G10" s="18">
        <v>26.0</v>
      </c>
      <c r="H10" s="18">
        <v>26.0</v>
      </c>
      <c r="I10" s="18">
        <v>26.0</v>
      </c>
      <c r="J10" s="18">
        <v>26.0</v>
      </c>
      <c r="K10" s="18">
        <v>26.0</v>
      </c>
      <c r="L10" s="18">
        <v>2.63</v>
      </c>
      <c r="M10" s="18">
        <v>2.98</v>
      </c>
      <c r="N10" s="18">
        <v>2.98</v>
      </c>
      <c r="O10" s="19">
        <v>22.23</v>
      </c>
      <c r="P10" s="19">
        <v>46.0</v>
      </c>
      <c r="Q10" s="19">
        <v>46.0</v>
      </c>
      <c r="R10" s="11" t="s">
        <v>52</v>
      </c>
      <c r="S10" s="10" t="str">
        <f>IF(Universal!printer_index&lt;10,"SS01","")</f>
        <v>SS01</v>
      </c>
    </row>
    <row r="11" ht="14.25" customHeight="1">
      <c r="B11" s="10" t="s">
        <v>53</v>
      </c>
      <c r="C11" s="18"/>
      <c r="D11" s="18"/>
      <c r="E11" s="18"/>
      <c r="F11" s="18">
        <v>26.0</v>
      </c>
      <c r="G11" s="18">
        <v>26.0</v>
      </c>
      <c r="H11" s="18">
        <v>26.0</v>
      </c>
      <c r="I11" s="18">
        <v>26.0</v>
      </c>
      <c r="J11" s="18">
        <v>26.0</v>
      </c>
      <c r="K11" s="18">
        <v>26.0</v>
      </c>
      <c r="L11" s="18">
        <v>2.63</v>
      </c>
      <c r="M11" s="18">
        <v>2.98</v>
      </c>
      <c r="N11" s="18">
        <v>2.98</v>
      </c>
      <c r="O11" s="19">
        <v>22.23</v>
      </c>
      <c r="P11" s="19">
        <v>24.0</v>
      </c>
      <c r="Q11" s="19">
        <v>46.0</v>
      </c>
      <c r="R11" s="11"/>
      <c r="S11" s="10" t="str">
        <f>IF(Universal!printer_index&lt;10,"",IF(Universal!printer_index&gt;12,"","SPJ04"))</f>
        <v/>
      </c>
    </row>
    <row r="12" ht="14.25" customHeight="1">
      <c r="B12" s="10" t="s">
        <v>54</v>
      </c>
      <c r="C12" s="20">
        <v>350.0</v>
      </c>
      <c r="D12" s="20">
        <v>350.0</v>
      </c>
      <c r="E12" s="20">
        <v>350.0</v>
      </c>
      <c r="F12" s="20">
        <v>350.0</v>
      </c>
      <c r="G12" s="20">
        <v>350.0</v>
      </c>
      <c r="H12" s="20">
        <v>350.0</v>
      </c>
      <c r="I12" s="20">
        <v>350.0</v>
      </c>
      <c r="J12" s="20">
        <v>350.0</v>
      </c>
      <c r="K12" s="20">
        <v>350.0</v>
      </c>
      <c r="L12" s="20">
        <v>200.0</v>
      </c>
      <c r="M12" s="20">
        <v>490.0</v>
      </c>
      <c r="N12" s="20">
        <v>490.0</v>
      </c>
      <c r="O12" s="21">
        <v>75.0</v>
      </c>
      <c r="P12" s="21">
        <v>270.0</v>
      </c>
      <c r="Q12" s="21">
        <v>500.0</v>
      </c>
      <c r="R12" s="11" t="s">
        <v>55</v>
      </c>
    </row>
    <row r="13" ht="14.25" customHeight="1">
      <c r="B13" s="10" t="s">
        <v>56</v>
      </c>
      <c r="C13" s="20">
        <v>220.0</v>
      </c>
      <c r="D13" s="20">
        <v>220.0</v>
      </c>
      <c r="E13" s="20">
        <v>220.0</v>
      </c>
      <c r="F13" s="20">
        <v>220.0</v>
      </c>
      <c r="G13" s="20">
        <v>220.0</v>
      </c>
      <c r="H13" s="20">
        <v>220.0</v>
      </c>
      <c r="I13" s="20">
        <v>220.0</v>
      </c>
      <c r="J13" s="20">
        <v>220.0</v>
      </c>
      <c r="K13" s="20">
        <v>220.0</v>
      </c>
      <c r="L13" s="20">
        <v>100.0</v>
      </c>
      <c r="M13" s="20">
        <v>380.0</v>
      </c>
      <c r="N13" s="20">
        <v>380.0</v>
      </c>
      <c r="O13" s="21">
        <v>170.0</v>
      </c>
      <c r="P13" s="21">
        <v>420.0</v>
      </c>
      <c r="Q13" s="21">
        <v>800.0</v>
      </c>
      <c r="R13" s="11" t="s">
        <v>55</v>
      </c>
    </row>
    <row r="14" ht="14.25" customHeight="1">
      <c r="B14" s="10" t="s">
        <v>57</v>
      </c>
      <c r="C14" s="20">
        <v>50.0</v>
      </c>
      <c r="D14" s="20">
        <v>100.0</v>
      </c>
      <c r="E14" s="20">
        <v>150.0</v>
      </c>
      <c r="F14" s="20">
        <v>50.0</v>
      </c>
      <c r="G14" s="20">
        <v>100.0</v>
      </c>
      <c r="H14" s="20">
        <v>150.0</v>
      </c>
      <c r="I14" s="20">
        <v>50.0</v>
      </c>
      <c r="J14" s="20">
        <v>50.0</v>
      </c>
      <c r="K14" s="20">
        <v>150.0</v>
      </c>
      <c r="L14" s="20">
        <v>40.0</v>
      </c>
      <c r="M14" s="20">
        <v>260.0</v>
      </c>
      <c r="N14" s="20">
        <v>260.0</v>
      </c>
      <c r="O14" s="21">
        <v>75.0</v>
      </c>
      <c r="P14" s="21">
        <v>270.0</v>
      </c>
      <c r="Q14" s="21">
        <v>400.0</v>
      </c>
      <c r="R14" s="11" t="s">
        <v>55</v>
      </c>
    </row>
    <row r="15" ht="14.25" customHeight="1">
      <c r="B15" s="10" t="s">
        <v>58</v>
      </c>
      <c r="C15" s="22">
        <v>0.56</v>
      </c>
      <c r="D15" s="22">
        <v>0.56</v>
      </c>
      <c r="E15" s="22">
        <v>0.56</v>
      </c>
      <c r="F15" s="22">
        <v>0.56</v>
      </c>
      <c r="G15" s="22">
        <v>0.56</v>
      </c>
      <c r="H15" s="22">
        <v>0.56</v>
      </c>
      <c r="I15" s="22">
        <v>0.56</v>
      </c>
      <c r="J15" s="22">
        <v>0.56</v>
      </c>
      <c r="K15" s="22">
        <v>0.56</v>
      </c>
      <c r="L15" s="22">
        <v>0.6</v>
      </c>
      <c r="M15" s="22">
        <v>0.6</v>
      </c>
      <c r="N15" s="22">
        <v>0.6</v>
      </c>
      <c r="O15" s="23">
        <v>0.59</v>
      </c>
      <c r="P15" s="23">
        <v>0.59</v>
      </c>
      <c r="Q15" s="23">
        <v>0.59</v>
      </c>
      <c r="R15" s="11"/>
    </row>
    <row r="16" ht="14.25" customHeight="1">
      <c r="B16" s="10" t="s">
        <v>59</v>
      </c>
      <c r="C16" s="24">
        <v>1.8</v>
      </c>
      <c r="D16" s="24">
        <v>1.8</v>
      </c>
      <c r="E16" s="24">
        <v>1.8</v>
      </c>
      <c r="F16" s="24">
        <v>1.8</v>
      </c>
      <c r="G16" s="24">
        <v>1.8</v>
      </c>
      <c r="H16" s="24">
        <v>1.8</v>
      </c>
      <c r="I16" s="24">
        <v>1.8</v>
      </c>
      <c r="J16" s="24">
        <v>1.8</v>
      </c>
      <c r="K16" s="24">
        <v>1.8</v>
      </c>
      <c r="L16" s="24">
        <v>6.0</v>
      </c>
      <c r="M16" s="24">
        <v>6.0</v>
      </c>
      <c r="N16" s="24">
        <v>6.0</v>
      </c>
      <c r="O16" s="25">
        <v>4.0</v>
      </c>
      <c r="P16" s="25">
        <v>4.0</v>
      </c>
      <c r="Q16" s="25">
        <v>4.0</v>
      </c>
      <c r="R16" s="11"/>
    </row>
    <row r="17" ht="14.25" customHeight="1">
      <c r="B17" s="10" t="s">
        <v>60</v>
      </c>
      <c r="C17" s="16">
        <v>0.005</v>
      </c>
      <c r="D17" s="16">
        <v>0.005</v>
      </c>
      <c r="E17" s="16">
        <v>0.005</v>
      </c>
      <c r="F17" s="16">
        <v>0.005</v>
      </c>
      <c r="G17" s="16">
        <v>0.005</v>
      </c>
      <c r="H17" s="16">
        <v>0.005</v>
      </c>
      <c r="I17" s="16">
        <v>0.005</v>
      </c>
      <c r="J17" s="16">
        <v>0.005</v>
      </c>
      <c r="K17" s="16">
        <v>0.005</v>
      </c>
      <c r="L17" s="16">
        <v>0.005</v>
      </c>
      <c r="M17" s="16">
        <v>0.001</v>
      </c>
      <c r="N17" s="16">
        <v>0.001</v>
      </c>
      <c r="O17" s="26">
        <v>0.001</v>
      </c>
      <c r="P17" s="26">
        <v>0.001</v>
      </c>
      <c r="Q17" s="26">
        <v>0.001</v>
      </c>
      <c r="R17" s="11"/>
    </row>
    <row r="18" ht="14.25" customHeight="1">
      <c r="B18" s="10" t="s">
        <v>61</v>
      </c>
      <c r="C18" s="27">
        <v>0.6818181818181818</v>
      </c>
      <c r="D18" s="27">
        <v>0.6818181818181818</v>
      </c>
      <c r="E18" s="27">
        <v>0.6818181818181818</v>
      </c>
      <c r="F18" s="27">
        <v>0.6818181818181818</v>
      </c>
      <c r="G18" s="27">
        <v>0.6818181818181818</v>
      </c>
      <c r="H18" s="27">
        <v>0.6818181818181818</v>
      </c>
      <c r="I18" s="27">
        <v>0.6818181818181818</v>
      </c>
      <c r="J18" s="27">
        <v>0.6818181818181818</v>
      </c>
      <c r="K18" s="27">
        <v>0.6818181818181818</v>
      </c>
      <c r="L18" s="27">
        <v>0.8</v>
      </c>
      <c r="M18" s="27">
        <v>0.7</v>
      </c>
      <c r="N18" s="27">
        <v>0.7</v>
      </c>
      <c r="O18" s="28">
        <v>0.8</v>
      </c>
      <c r="P18" s="28">
        <v>0.8</v>
      </c>
      <c r="Q18" s="28">
        <v>0.8</v>
      </c>
      <c r="R18" s="11"/>
    </row>
    <row r="19" ht="14.25" customHeight="1">
      <c r="B19" s="10" t="s">
        <v>62</v>
      </c>
      <c r="C19" s="29">
        <v>16.0</v>
      </c>
      <c r="D19" s="29">
        <v>16.0</v>
      </c>
      <c r="E19" s="29">
        <v>16.0</v>
      </c>
      <c r="F19" s="29">
        <v>16.0</v>
      </c>
      <c r="G19" s="29">
        <v>16.0</v>
      </c>
      <c r="H19" s="29">
        <v>16.0</v>
      </c>
      <c r="I19" s="29">
        <v>16.0</v>
      </c>
      <c r="J19" s="29">
        <v>16.0</v>
      </c>
      <c r="K19" s="29">
        <v>16.0</v>
      </c>
      <c r="L19" s="29">
        <v>50.0</v>
      </c>
      <c r="M19" s="29">
        <v>100.0</v>
      </c>
      <c r="N19" s="29">
        <v>100.0</v>
      </c>
      <c r="O19" s="30">
        <v>2.0</v>
      </c>
      <c r="P19" s="31">
        <v>2.0</v>
      </c>
      <c r="Q19" s="30">
        <v>2.0</v>
      </c>
      <c r="R19" s="11" t="s">
        <v>63</v>
      </c>
    </row>
    <row r="20" ht="14.25" customHeight="1">
      <c r="B20" s="10" t="s">
        <v>64</v>
      </c>
      <c r="C20" s="24">
        <v>1.5</v>
      </c>
      <c r="D20" s="24">
        <v>1.5</v>
      </c>
      <c r="E20" s="24">
        <v>1.5</v>
      </c>
      <c r="F20" s="24">
        <v>1.5</v>
      </c>
      <c r="G20" s="24">
        <v>1.5</v>
      </c>
      <c r="H20" s="24">
        <v>1.5</v>
      </c>
      <c r="I20" s="24">
        <v>1.5</v>
      </c>
      <c r="J20" s="24">
        <v>1.5</v>
      </c>
      <c r="K20" s="24">
        <v>1.5</v>
      </c>
      <c r="L20" s="24">
        <v>5.0</v>
      </c>
      <c r="M20" s="24">
        <v>20.0</v>
      </c>
      <c r="N20" s="24">
        <v>20.0</v>
      </c>
      <c r="O20" s="25">
        <v>1.25</v>
      </c>
      <c r="P20" s="32">
        <v>1.5</v>
      </c>
      <c r="Q20" s="25">
        <v>10.0</v>
      </c>
      <c r="R20" s="11" t="s">
        <v>65</v>
      </c>
    </row>
    <row r="21" ht="14.25" customHeight="1">
      <c r="B21" s="10" t="s">
        <v>66</v>
      </c>
      <c r="C21" s="33" t="s">
        <v>67</v>
      </c>
      <c r="D21" s="33" t="s">
        <v>67</v>
      </c>
      <c r="E21" s="33" t="s">
        <v>67</v>
      </c>
      <c r="F21" s="33" t="s">
        <v>67</v>
      </c>
      <c r="G21" s="33" t="s">
        <v>67</v>
      </c>
      <c r="H21" s="33" t="s">
        <v>67</v>
      </c>
      <c r="I21" s="33" t="s">
        <v>67</v>
      </c>
      <c r="J21" s="33" t="s">
        <v>67</v>
      </c>
      <c r="K21" s="33" t="s">
        <v>67</v>
      </c>
      <c r="L21" s="33" t="s">
        <v>67</v>
      </c>
      <c r="M21" s="33" t="s">
        <v>67</v>
      </c>
      <c r="N21" s="33" t="s">
        <v>67</v>
      </c>
      <c r="O21" s="34" t="s">
        <v>68</v>
      </c>
      <c r="P21" s="34" t="s">
        <v>68</v>
      </c>
      <c r="Q21" s="34" t="s">
        <v>68</v>
      </c>
      <c r="R21" s="11"/>
    </row>
    <row r="22" ht="14.25" customHeight="1">
      <c r="B22" s="10" t="s">
        <v>69</v>
      </c>
      <c r="C22" s="35">
        <v>4.0</v>
      </c>
      <c r="D22" s="35">
        <v>4.0</v>
      </c>
      <c r="E22" s="35">
        <v>4.0</v>
      </c>
      <c r="F22" s="35">
        <v>4.0</v>
      </c>
      <c r="G22" s="35">
        <v>4.0</v>
      </c>
      <c r="H22" s="35">
        <v>4.0</v>
      </c>
      <c r="I22" s="35">
        <v>4.0</v>
      </c>
      <c r="J22" s="35">
        <v>4.0</v>
      </c>
      <c r="K22" s="35">
        <v>4.0</v>
      </c>
      <c r="L22" s="35">
        <v>8.5</v>
      </c>
      <c r="M22" s="35">
        <v>20.0</v>
      </c>
      <c r="N22" s="35">
        <v>20.0</v>
      </c>
      <c r="O22" s="25">
        <v>5.0</v>
      </c>
      <c r="P22" s="25">
        <v>10.0</v>
      </c>
      <c r="Q22" s="25">
        <v>10.0</v>
      </c>
      <c r="R22" s="11" t="s">
        <v>55</v>
      </c>
    </row>
    <row r="23" ht="14.25" customHeight="1">
      <c r="B23" s="10" t="s">
        <v>70</v>
      </c>
      <c r="C23" s="35">
        <v>3.0</v>
      </c>
      <c r="D23" s="35">
        <v>3.0</v>
      </c>
      <c r="E23" s="35">
        <v>3.0</v>
      </c>
      <c r="F23" s="35">
        <v>3.0</v>
      </c>
      <c r="G23" s="35">
        <v>3.0</v>
      </c>
      <c r="H23" s="35">
        <v>3.0</v>
      </c>
      <c r="I23" s="35">
        <v>3.0</v>
      </c>
      <c r="J23" s="35">
        <v>3.0</v>
      </c>
      <c r="K23" s="35">
        <v>3.0</v>
      </c>
      <c r="L23" s="35">
        <v>4.0</v>
      </c>
      <c r="M23" s="35">
        <v>10.0</v>
      </c>
      <c r="N23" s="35">
        <v>10.0</v>
      </c>
      <c r="O23" s="25">
        <v>0.9999999999999998</v>
      </c>
      <c r="P23" s="25">
        <v>4.0</v>
      </c>
      <c r="Q23" s="25">
        <v>0.9999999999999998</v>
      </c>
      <c r="R23" s="11" t="s">
        <v>55</v>
      </c>
    </row>
    <row r="24" ht="14.25" customHeight="1">
      <c r="B24" s="10" t="s">
        <v>71</v>
      </c>
      <c r="C24" s="35">
        <v>1.0</v>
      </c>
      <c r="D24" s="35">
        <v>1.0</v>
      </c>
      <c r="E24" s="35">
        <v>1.0</v>
      </c>
      <c r="F24" s="35">
        <v>1.0</v>
      </c>
      <c r="G24" s="35">
        <v>1.0</v>
      </c>
      <c r="H24" s="35">
        <v>1.0</v>
      </c>
      <c r="I24" s="35">
        <v>1.0</v>
      </c>
      <c r="J24" s="35">
        <v>1.0</v>
      </c>
      <c r="K24" s="35">
        <v>1.0</v>
      </c>
      <c r="L24" s="35">
        <v>1.0</v>
      </c>
      <c r="M24" s="35">
        <v>1.0</v>
      </c>
      <c r="N24" s="35">
        <v>1.0</v>
      </c>
      <c r="O24" s="25">
        <v>1.0</v>
      </c>
      <c r="P24" s="25">
        <v>5.0</v>
      </c>
      <c r="Q24" s="25">
        <v>1.0</v>
      </c>
      <c r="R24" s="11" t="s">
        <v>55</v>
      </c>
    </row>
    <row r="25" ht="14.25" customHeight="1">
      <c r="B25" s="10" t="s">
        <v>72</v>
      </c>
      <c r="C25" s="35">
        <v>1.0</v>
      </c>
      <c r="D25" s="35">
        <v>1.0</v>
      </c>
      <c r="E25" s="35">
        <v>1.0</v>
      </c>
      <c r="F25" s="35">
        <v>1.0</v>
      </c>
      <c r="G25" s="35">
        <v>1.0</v>
      </c>
      <c r="H25" s="35">
        <v>1.0</v>
      </c>
      <c r="I25" s="35">
        <v>1.0</v>
      </c>
      <c r="J25" s="35">
        <v>1.0</v>
      </c>
      <c r="K25" s="35">
        <v>1.0</v>
      </c>
      <c r="L25" s="35">
        <v>0.4</v>
      </c>
      <c r="M25" s="35">
        <v>0.4</v>
      </c>
      <c r="N25" s="35">
        <v>0.4</v>
      </c>
      <c r="O25" s="25">
        <v>0.4999999999999999</v>
      </c>
      <c r="P25" s="25">
        <v>5.0</v>
      </c>
      <c r="Q25" s="25">
        <v>0.4999999999999999</v>
      </c>
      <c r="R25" s="11" t="s">
        <v>55</v>
      </c>
    </row>
    <row r="26" ht="14.25" customHeight="1">
      <c r="A26" s="10" t="s">
        <v>45</v>
      </c>
      <c r="B26" s="14" t="s">
        <v>73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1"/>
    </row>
    <row r="27" ht="14.25" customHeight="1">
      <c r="B27" s="10" t="s">
        <v>74</v>
      </c>
      <c r="C27" s="36">
        <v>50.0</v>
      </c>
      <c r="D27" s="36">
        <v>50.0</v>
      </c>
      <c r="E27" s="36">
        <v>50.0</v>
      </c>
      <c r="F27" s="36">
        <v>50.0</v>
      </c>
      <c r="G27" s="36">
        <v>50.0</v>
      </c>
      <c r="H27" s="36">
        <v>50.0</v>
      </c>
      <c r="I27" s="36">
        <v>50.0</v>
      </c>
      <c r="J27" s="36">
        <v>50.0</v>
      </c>
      <c r="K27" s="36">
        <v>50.0</v>
      </c>
      <c r="L27" s="36">
        <v>35.0</v>
      </c>
      <c r="M27" s="36">
        <v>35.0</v>
      </c>
      <c r="N27" s="36">
        <v>35.0</v>
      </c>
      <c r="O27" s="36">
        <v>30.0</v>
      </c>
      <c r="P27" s="36">
        <v>30.0</v>
      </c>
      <c r="Q27" s="36">
        <v>30.0</v>
      </c>
      <c r="R27" s="11" t="s">
        <v>75</v>
      </c>
    </row>
    <row r="28" ht="14.25" customHeight="1">
      <c r="B28" s="10" t="s">
        <v>76</v>
      </c>
      <c r="C28" s="36">
        <v>100.0</v>
      </c>
      <c r="D28" s="36">
        <v>100.0</v>
      </c>
      <c r="E28" s="36">
        <v>100.0</v>
      </c>
      <c r="F28" s="36">
        <v>100.0</v>
      </c>
      <c r="G28" s="36">
        <v>100.0</v>
      </c>
      <c r="H28" s="36">
        <v>100.0</v>
      </c>
      <c r="I28" s="36">
        <v>100.0</v>
      </c>
      <c r="J28" s="36">
        <v>100.0</v>
      </c>
      <c r="K28" s="36">
        <v>100.0</v>
      </c>
      <c r="L28" s="36">
        <v>150.0</v>
      </c>
      <c r="M28" s="36">
        <v>150.0</v>
      </c>
      <c r="N28" s="36">
        <v>150.0</v>
      </c>
      <c r="O28" s="36">
        <v>200.0</v>
      </c>
      <c r="P28" s="36">
        <v>200.0</v>
      </c>
      <c r="Q28" s="36">
        <v>200.0</v>
      </c>
      <c r="R28" s="11" t="s">
        <v>75</v>
      </c>
    </row>
    <row r="29" ht="14.25" customHeight="1">
      <c r="B29" s="10" t="s">
        <v>77</v>
      </c>
      <c r="C29" s="36">
        <v>25.0</v>
      </c>
      <c r="D29" s="36">
        <v>25.0</v>
      </c>
      <c r="E29" s="36">
        <v>25.0</v>
      </c>
      <c r="F29" s="36">
        <v>25.0</v>
      </c>
      <c r="G29" s="36">
        <v>25.0</v>
      </c>
      <c r="H29" s="36">
        <v>25.0</v>
      </c>
      <c r="I29" s="36">
        <v>25.0</v>
      </c>
      <c r="J29" s="36">
        <v>25.0</v>
      </c>
      <c r="K29" s="36">
        <v>25.0</v>
      </c>
      <c r="L29" s="36">
        <v>5.0</v>
      </c>
      <c r="M29" s="36">
        <v>5.0</v>
      </c>
      <c r="N29" s="36">
        <v>5.0</v>
      </c>
      <c r="O29" s="36">
        <v>5.0</v>
      </c>
      <c r="P29" s="36">
        <v>5.0</v>
      </c>
      <c r="Q29" s="36">
        <v>5.0</v>
      </c>
      <c r="R29" s="11" t="s">
        <v>75</v>
      </c>
    </row>
    <row r="30" ht="14.25" customHeight="1">
      <c r="B30" s="10" t="s">
        <v>78</v>
      </c>
      <c r="C30" s="36">
        <v>75.0</v>
      </c>
      <c r="D30" s="36">
        <v>75.0</v>
      </c>
      <c r="E30" s="36">
        <v>75.0</v>
      </c>
      <c r="F30" s="36">
        <v>75.0</v>
      </c>
      <c r="G30" s="36">
        <v>75.0</v>
      </c>
      <c r="H30" s="36">
        <v>75.0</v>
      </c>
      <c r="I30" s="36">
        <v>75.0</v>
      </c>
      <c r="J30" s="36">
        <v>75.0</v>
      </c>
      <c r="K30" s="36">
        <v>75.0</v>
      </c>
      <c r="L30" s="36">
        <v>65.0</v>
      </c>
      <c r="M30" s="36">
        <v>65.0</v>
      </c>
      <c r="N30" s="36">
        <v>65.0</v>
      </c>
      <c r="O30" s="36">
        <v>50.0</v>
      </c>
      <c r="P30" s="36">
        <v>50.0</v>
      </c>
      <c r="Q30" s="36">
        <v>50.0</v>
      </c>
      <c r="R30" s="11" t="s">
        <v>75</v>
      </c>
    </row>
    <row r="31" ht="14.25" customHeight="1">
      <c r="A31" s="10" t="s">
        <v>45</v>
      </c>
      <c r="B31" s="14" t="s">
        <v>79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1"/>
    </row>
    <row r="32" ht="14.25" customHeight="1">
      <c r="B32" s="10" t="s">
        <v>80</v>
      </c>
      <c r="C32" s="24">
        <f>IF(OR(Shop!s_model="4L",Shop!s_model="8L"),20,26)</f>
        <v>26</v>
      </c>
      <c r="D32" s="24">
        <f>IF(OR(Shop!s_model="4L",Shop!s_model="8L"),20,26)</f>
        <v>26</v>
      </c>
      <c r="E32" s="24">
        <f>IF(OR(Shop!s_model="4L",Shop!s_model="8L"),20,26)</f>
        <v>26</v>
      </c>
      <c r="F32" s="24">
        <f>IF(OR(Shop!s_model="4L",Shop!s_model="8L"),20,26)</f>
        <v>26</v>
      </c>
      <c r="G32" s="24">
        <f>IF(OR(Shop!s_model="4L",Shop!s_model="8L"),20,26)</f>
        <v>26</v>
      </c>
      <c r="H32" s="24">
        <f>IF(OR(Shop!s_model="4L",Shop!s_model="8L"),20,26)</f>
        <v>26</v>
      </c>
      <c r="I32" s="24">
        <v>20.0</v>
      </c>
      <c r="J32" s="24">
        <v>20.0</v>
      </c>
      <c r="K32" s="24">
        <v>20.0</v>
      </c>
      <c r="L32" s="24">
        <v>4.5</v>
      </c>
      <c r="M32" s="24">
        <v>40.0</v>
      </c>
      <c r="N32" s="24">
        <v>40.0</v>
      </c>
      <c r="O32" s="25">
        <f>12+(((Universal!build_height-25.4)/25.4)*4)</f>
        <v>25.93700787</v>
      </c>
      <c r="P32" s="25">
        <f>12+(((Universal!build_height-25.4)/25.4)*4)</f>
        <v>25.93700787</v>
      </c>
      <c r="Q32" s="25">
        <f>12+(((Universal!build_height-25.4)/25.4)*4)</f>
        <v>25.93700787</v>
      </c>
      <c r="R32" s="11" t="s">
        <v>81</v>
      </c>
      <c r="S32" s="10" t="s">
        <v>82</v>
      </c>
    </row>
    <row r="33" ht="14.25" customHeight="1">
      <c r="B33" s="10" t="s">
        <v>83</v>
      </c>
      <c r="C33" s="24"/>
      <c r="D33" s="24"/>
      <c r="E33" s="24"/>
      <c r="F33" s="24"/>
      <c r="G33" s="24"/>
      <c r="H33" s="24"/>
      <c r="I33" s="24"/>
      <c r="J33" s="24"/>
      <c r="K33" s="24"/>
      <c r="L33" s="24">
        <v>4.5</v>
      </c>
      <c r="M33" s="24">
        <v>40.0</v>
      </c>
      <c r="N33" s="24">
        <v>40.0</v>
      </c>
      <c r="O33" s="25">
        <f>(Universal!build_height/30*6)+(Universal!build_height/30*2)+10+10</f>
        <v>50.37333333</v>
      </c>
      <c r="P33" s="25">
        <f>(Universal!build_height/30*6)+(Universal!build_height/30*2)+10+10</f>
        <v>50.37333333</v>
      </c>
      <c r="Q33" s="25">
        <f>(Universal!build_height/30*6)+(Universal!build_height/30*2)+10+10</f>
        <v>50.37333333</v>
      </c>
      <c r="R33" s="11"/>
      <c r="S33" s="10"/>
    </row>
    <row r="34" ht="14.25" customHeight="1">
      <c r="B34" s="10" t="s">
        <v>84</v>
      </c>
      <c r="C34" s="29">
        <v>2.0</v>
      </c>
      <c r="D34" s="29">
        <v>2.0</v>
      </c>
      <c r="E34" s="29">
        <v>2.0</v>
      </c>
      <c r="F34" s="29">
        <v>2.0</v>
      </c>
      <c r="G34" s="29">
        <v>2.0</v>
      </c>
      <c r="H34" s="29">
        <v>2.0</v>
      </c>
      <c r="I34" s="29">
        <v>2.0</v>
      </c>
      <c r="J34" s="29">
        <v>2.0</v>
      </c>
      <c r="K34" s="29">
        <v>2.0</v>
      </c>
      <c r="L34" s="29">
        <v>6.0</v>
      </c>
      <c r="M34" s="29">
        <v>2.0</v>
      </c>
      <c r="N34" s="29">
        <v>2.0</v>
      </c>
      <c r="O34" s="30">
        <v>4.0</v>
      </c>
      <c r="P34" s="30">
        <f>IF(Universal!$C$14="TurboFuse",1,2)</f>
        <v>2</v>
      </c>
      <c r="Q34" s="30">
        <v>1.0</v>
      </c>
      <c r="R34" s="11"/>
      <c r="S34" s="10" t="s">
        <v>85</v>
      </c>
    </row>
    <row r="35" ht="14.25" customHeight="1">
      <c r="B35" s="10" t="s">
        <v>86</v>
      </c>
      <c r="C35" s="29">
        <v>45.0</v>
      </c>
      <c r="D35" s="29">
        <v>45.0</v>
      </c>
      <c r="E35" s="29">
        <v>45.0</v>
      </c>
      <c r="F35" s="29">
        <v>45.0</v>
      </c>
      <c r="G35" s="29">
        <v>45.0</v>
      </c>
      <c r="H35" s="29">
        <v>45.0</v>
      </c>
      <c r="I35" s="29">
        <v>45.0</v>
      </c>
      <c r="J35" s="29">
        <v>45.0</v>
      </c>
      <c r="K35" s="29">
        <v>45.0</v>
      </c>
      <c r="L35" s="29">
        <v>45.0</v>
      </c>
      <c r="M35" s="20">
        <v>0.0</v>
      </c>
      <c r="N35" s="20">
        <v>0.0</v>
      </c>
      <c r="O35" s="21">
        <v>45.0</v>
      </c>
      <c r="P35" s="21">
        <v>500.0</v>
      </c>
      <c r="Q35" s="21">
        <v>0.0</v>
      </c>
      <c r="R35" s="11" t="s">
        <v>87</v>
      </c>
    </row>
    <row r="36" ht="14.25" customHeight="1">
      <c r="B36" s="10" t="s">
        <v>88</v>
      </c>
      <c r="C36" s="20">
        <v>0.0</v>
      </c>
      <c r="D36" s="20">
        <v>0.0</v>
      </c>
      <c r="E36" s="20">
        <v>0.0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1.0</v>
      </c>
      <c r="N36" s="20">
        <v>1.0</v>
      </c>
      <c r="O36" s="21">
        <v>0.0</v>
      </c>
      <c r="P36" s="21">
        <v>0.0</v>
      </c>
      <c r="Q36" s="21">
        <v>2.0</v>
      </c>
      <c r="R36" s="11"/>
    </row>
    <row r="37" ht="14.25" customHeight="1">
      <c r="B37" s="10" t="s">
        <v>89</v>
      </c>
      <c r="C37" s="20">
        <v>0.0</v>
      </c>
      <c r="D37" s="20">
        <v>0.0</v>
      </c>
      <c r="E37" s="20">
        <v>0.0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0.0</v>
      </c>
      <c r="M37" s="20">
        <v>2.0</v>
      </c>
      <c r="N37" s="20">
        <v>2.0</v>
      </c>
      <c r="O37" s="21">
        <v>0.0</v>
      </c>
      <c r="P37" s="21">
        <v>0.0</v>
      </c>
      <c r="Q37" s="21">
        <v>2.0</v>
      </c>
      <c r="R37" s="11"/>
    </row>
    <row r="38" ht="14.25" customHeight="1">
      <c r="A38" s="10" t="s">
        <v>45</v>
      </c>
      <c r="B38" s="14" t="s">
        <v>90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1"/>
    </row>
    <row r="39" ht="14.25" customHeight="1">
      <c r="B39" s="10" t="s">
        <v>91</v>
      </c>
      <c r="C39" s="29">
        <v>4000.0</v>
      </c>
      <c r="D39" s="29">
        <v>4000.0</v>
      </c>
      <c r="E39" s="29">
        <v>4000.0</v>
      </c>
      <c r="F39" s="29">
        <v>4000.0</v>
      </c>
      <c r="G39" s="29">
        <v>4000.0</v>
      </c>
      <c r="H39" s="29">
        <v>4000.0</v>
      </c>
      <c r="I39" s="29">
        <v>4000.0</v>
      </c>
      <c r="J39" s="29">
        <v>4000.0</v>
      </c>
      <c r="K39" s="29">
        <v>4000.0</v>
      </c>
      <c r="L39" s="29">
        <v>2500.0</v>
      </c>
      <c r="M39" s="29">
        <v>2500.0</v>
      </c>
      <c r="N39" s="29">
        <v>2500.0</v>
      </c>
      <c r="O39" s="29">
        <v>2500.0</v>
      </c>
      <c r="P39" s="29">
        <v>2500.0</v>
      </c>
      <c r="Q39" s="29">
        <v>2500.0</v>
      </c>
      <c r="R39" s="11" t="s">
        <v>92</v>
      </c>
    </row>
    <row r="40" ht="14.25" customHeight="1">
      <c r="B40" s="10" t="s">
        <v>93</v>
      </c>
      <c r="C40" s="29">
        <v>8000.0</v>
      </c>
      <c r="D40" s="29">
        <v>8000.0</v>
      </c>
      <c r="E40" s="29">
        <v>8000.0</v>
      </c>
      <c r="F40" s="29">
        <v>8000.0</v>
      </c>
      <c r="G40" s="29">
        <v>8000.0</v>
      </c>
      <c r="H40" s="29">
        <v>8000.0</v>
      </c>
      <c r="I40" s="29">
        <v>8000.0</v>
      </c>
      <c r="J40" s="29">
        <v>8000.0</v>
      </c>
      <c r="K40" s="29">
        <v>8000.0</v>
      </c>
      <c r="L40" s="35">
        <v>0.0</v>
      </c>
      <c r="M40" s="35">
        <v>0.0</v>
      </c>
      <c r="N40" s="35">
        <v>0.0</v>
      </c>
      <c r="O40" s="35">
        <v>120000.0</v>
      </c>
      <c r="P40" s="35">
        <v>0.0</v>
      </c>
      <c r="Q40" s="35">
        <v>0.0</v>
      </c>
      <c r="R40" s="11" t="s">
        <v>63</v>
      </c>
    </row>
    <row r="41" ht="14.25" customHeight="1">
      <c r="B41" s="10" t="s">
        <v>94</v>
      </c>
      <c r="C41" s="24">
        <v>10.0</v>
      </c>
      <c r="D41" s="24">
        <v>10.0</v>
      </c>
      <c r="E41" s="24">
        <v>10.0</v>
      </c>
      <c r="F41" s="24">
        <v>10.0</v>
      </c>
      <c r="G41" s="24">
        <v>10.0</v>
      </c>
      <c r="H41" s="24">
        <v>10.0</v>
      </c>
      <c r="I41" s="24">
        <v>10.0</v>
      </c>
      <c r="J41" s="24">
        <v>10.0</v>
      </c>
      <c r="K41" s="24">
        <v>10.0</v>
      </c>
      <c r="L41" s="35">
        <v>0.0</v>
      </c>
      <c r="M41" s="35">
        <v>0.0</v>
      </c>
      <c r="N41" s="35">
        <v>0.0</v>
      </c>
      <c r="O41" s="35">
        <v>80000.0</v>
      </c>
      <c r="P41" s="35">
        <v>0.0</v>
      </c>
      <c r="Q41" s="35">
        <v>0.0</v>
      </c>
      <c r="R41" s="11" t="s">
        <v>95</v>
      </c>
    </row>
    <row r="42" ht="14.25" customHeight="1">
      <c r="B42" s="10" t="s">
        <v>96</v>
      </c>
      <c r="C42" s="35">
        <v>0.0</v>
      </c>
      <c r="D42" s="35">
        <v>0.0</v>
      </c>
      <c r="E42" s="35">
        <v>0.0</v>
      </c>
      <c r="F42" s="35">
        <v>0.0</v>
      </c>
      <c r="G42" s="35">
        <v>0.0</v>
      </c>
      <c r="H42" s="35">
        <v>0.0</v>
      </c>
      <c r="I42" s="35">
        <v>0.0</v>
      </c>
      <c r="J42" s="35">
        <v>0.0</v>
      </c>
      <c r="K42" s="35">
        <v>0.0</v>
      </c>
      <c r="L42" s="35">
        <v>0.0</v>
      </c>
      <c r="M42" s="35">
        <v>0.0</v>
      </c>
      <c r="N42" s="35">
        <v>0.0</v>
      </c>
      <c r="O42" s="25">
        <v>1.0</v>
      </c>
      <c r="P42" s="25">
        <v>2.0</v>
      </c>
      <c r="Q42" s="25">
        <v>1.0</v>
      </c>
      <c r="R42" s="11" t="s">
        <v>63</v>
      </c>
    </row>
    <row r="43" ht="14.25" customHeight="1">
      <c r="B43" s="10" t="s">
        <v>97</v>
      </c>
      <c r="C43" s="35">
        <v>0.0</v>
      </c>
      <c r="D43" s="35">
        <v>0.0</v>
      </c>
      <c r="E43" s="35">
        <v>0.0</v>
      </c>
      <c r="F43" s="35">
        <v>0.0</v>
      </c>
      <c r="G43" s="35">
        <v>0.0</v>
      </c>
      <c r="H43" s="35">
        <v>0.0</v>
      </c>
      <c r="I43" s="35">
        <v>0.0</v>
      </c>
      <c r="J43" s="35">
        <v>0.0</v>
      </c>
      <c r="K43" s="35">
        <v>0.0</v>
      </c>
      <c r="L43" s="35">
        <v>0.0</v>
      </c>
      <c r="M43" s="35">
        <v>0.0</v>
      </c>
      <c r="N43" s="35">
        <v>0.0</v>
      </c>
      <c r="O43" s="25">
        <v>0.2</v>
      </c>
      <c r="P43" s="25">
        <v>11.55</v>
      </c>
      <c r="Q43" s="25">
        <v>19.6</v>
      </c>
      <c r="R43" s="11" t="s">
        <v>65</v>
      </c>
    </row>
    <row r="44" ht="14.25" customHeight="1">
      <c r="A44" s="10" t="s">
        <v>45</v>
      </c>
      <c r="B44" s="14" t="s">
        <v>98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1"/>
    </row>
    <row r="45" ht="14.25" customHeight="1">
      <c r="B45" s="10" t="s">
        <v>99</v>
      </c>
      <c r="C45" s="37">
        <v>0.5</v>
      </c>
      <c r="D45" s="37">
        <v>0.5</v>
      </c>
      <c r="E45" s="37">
        <v>0.5</v>
      </c>
      <c r="F45" s="37">
        <v>0.5</v>
      </c>
      <c r="G45" s="37">
        <v>0.5</v>
      </c>
      <c r="H45" s="37">
        <v>0.5</v>
      </c>
      <c r="I45" s="37">
        <v>0.5</v>
      </c>
      <c r="J45" s="37">
        <v>0.5</v>
      </c>
      <c r="K45" s="37">
        <v>0.5</v>
      </c>
      <c r="L45" s="37">
        <v>0.5</v>
      </c>
      <c r="M45" s="37">
        <v>0.5</v>
      </c>
      <c r="N45" s="37">
        <v>0.5</v>
      </c>
      <c r="O45" s="38">
        <v>0.25</v>
      </c>
      <c r="P45" s="38">
        <v>1.0</v>
      </c>
      <c r="Q45" s="38">
        <v>2.0</v>
      </c>
      <c r="R45" s="11" t="s">
        <v>81</v>
      </c>
    </row>
    <row r="46" ht="14.25" customHeight="1">
      <c r="B46" s="10" t="s">
        <v>100</v>
      </c>
      <c r="C46" s="37">
        <v>0.5</v>
      </c>
      <c r="D46" s="37">
        <v>0.5</v>
      </c>
      <c r="E46" s="37">
        <v>0.5</v>
      </c>
      <c r="F46" s="37">
        <v>0.5</v>
      </c>
      <c r="G46" s="37">
        <v>0.5</v>
      </c>
      <c r="H46" s="37">
        <v>0.5</v>
      </c>
      <c r="I46" s="37">
        <v>0.5</v>
      </c>
      <c r="J46" s="37">
        <v>0.5</v>
      </c>
      <c r="K46" s="37">
        <v>0.5</v>
      </c>
      <c r="L46" s="37">
        <v>0.5</v>
      </c>
      <c r="M46" s="37">
        <v>0.5</v>
      </c>
      <c r="N46" s="37">
        <v>0.5</v>
      </c>
      <c r="O46" s="38">
        <v>0.5</v>
      </c>
      <c r="P46" s="38">
        <v>0.5</v>
      </c>
      <c r="Q46" s="38">
        <v>0.5</v>
      </c>
      <c r="R46" s="11" t="s">
        <v>81</v>
      </c>
    </row>
    <row r="47" ht="14.25" customHeight="1">
      <c r="B47" s="10" t="s">
        <v>101</v>
      </c>
      <c r="C47" s="37">
        <v>0.5</v>
      </c>
      <c r="D47" s="37">
        <v>0.5</v>
      </c>
      <c r="E47" s="37">
        <v>0.5</v>
      </c>
      <c r="F47" s="37">
        <v>0.5</v>
      </c>
      <c r="G47" s="37">
        <v>0.5</v>
      </c>
      <c r="H47" s="37">
        <v>0.5</v>
      </c>
      <c r="I47" s="37">
        <v>0.5</v>
      </c>
      <c r="J47" s="37">
        <v>0.5</v>
      </c>
      <c r="K47" s="37">
        <v>0.5</v>
      </c>
      <c r="L47" s="37">
        <v>0.5</v>
      </c>
      <c r="M47" s="37">
        <v>0.5</v>
      </c>
      <c r="N47" s="37">
        <v>0.5</v>
      </c>
      <c r="O47" s="38">
        <v>0.5</v>
      </c>
      <c r="P47" s="38">
        <v>0.5</v>
      </c>
      <c r="Q47" s="38">
        <v>0.5</v>
      </c>
      <c r="R47" s="11" t="s">
        <v>81</v>
      </c>
    </row>
    <row r="48" ht="14.25" customHeight="1">
      <c r="B48" s="10" t="s">
        <v>102</v>
      </c>
      <c r="C48" s="37">
        <v>0.25</v>
      </c>
      <c r="D48" s="37">
        <v>0.25</v>
      </c>
      <c r="E48" s="37">
        <v>0.25</v>
      </c>
      <c r="F48" s="37">
        <v>0.25</v>
      </c>
      <c r="G48" s="37">
        <v>0.25</v>
      </c>
      <c r="H48" s="37">
        <v>0.25</v>
      </c>
      <c r="I48" s="37">
        <v>0.25</v>
      </c>
      <c r="J48" s="37">
        <v>0.25</v>
      </c>
      <c r="K48" s="37">
        <v>0.25</v>
      </c>
      <c r="L48" s="37">
        <v>0.5</v>
      </c>
      <c r="M48" s="37">
        <v>1.0</v>
      </c>
      <c r="N48" s="37">
        <v>0.0</v>
      </c>
      <c r="O48" s="38">
        <v>0.25</v>
      </c>
      <c r="P48" s="38">
        <v>0.0</v>
      </c>
      <c r="Q48" s="38">
        <v>0.0</v>
      </c>
      <c r="R48" s="11" t="s">
        <v>81</v>
      </c>
    </row>
    <row r="49" ht="14.25" customHeight="1">
      <c r="B49" s="10" t="s">
        <v>103</v>
      </c>
      <c r="C49" s="37">
        <v>0.0</v>
      </c>
      <c r="D49" s="37">
        <v>0.0</v>
      </c>
      <c r="E49" s="37">
        <v>0.0</v>
      </c>
      <c r="F49" s="37">
        <v>0.0</v>
      </c>
      <c r="G49" s="37">
        <v>0.0</v>
      </c>
      <c r="H49" s="37">
        <v>0.0</v>
      </c>
      <c r="I49" s="37">
        <v>0.0</v>
      </c>
      <c r="J49" s="37">
        <v>0.0</v>
      </c>
      <c r="K49" s="37">
        <v>0.0</v>
      </c>
      <c r="L49" s="37">
        <v>0.0</v>
      </c>
      <c r="M49" s="37">
        <v>2.0</v>
      </c>
      <c r="N49" s="37">
        <v>0.25</v>
      </c>
      <c r="O49" s="38">
        <v>0.0</v>
      </c>
      <c r="P49" s="38">
        <v>0.25</v>
      </c>
      <c r="Q49" s="38">
        <v>0.25</v>
      </c>
      <c r="R49" s="11" t="s">
        <v>81</v>
      </c>
    </row>
    <row r="50" ht="14.25" customHeight="1">
      <c r="A50" s="10" t="s">
        <v>45</v>
      </c>
      <c r="B50" s="14" t="s">
        <v>104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1"/>
    </row>
    <row r="51" ht="14.25" customHeight="1">
      <c r="B51" s="10" t="s">
        <v>105</v>
      </c>
      <c r="C51" s="24">
        <f t="shared" ref="C51:K51" si="2">2*0.8+0.56*0.57</f>
        <v>1.9192</v>
      </c>
      <c r="D51" s="24">
        <f t="shared" si="2"/>
        <v>1.9192</v>
      </c>
      <c r="E51" s="24">
        <f t="shared" si="2"/>
        <v>1.9192</v>
      </c>
      <c r="F51" s="24">
        <f t="shared" si="2"/>
        <v>1.9192</v>
      </c>
      <c r="G51" s="24">
        <f t="shared" si="2"/>
        <v>1.9192</v>
      </c>
      <c r="H51" s="24">
        <f t="shared" si="2"/>
        <v>1.9192</v>
      </c>
      <c r="I51" s="24">
        <f t="shared" si="2"/>
        <v>1.9192</v>
      </c>
      <c r="J51" s="24">
        <f t="shared" si="2"/>
        <v>1.9192</v>
      </c>
      <c r="K51" s="24">
        <f t="shared" si="2"/>
        <v>1.9192</v>
      </c>
      <c r="L51" s="24">
        <v>0.0</v>
      </c>
      <c r="M51" s="24">
        <v>0.0</v>
      </c>
      <c r="N51" s="24">
        <v>0.0</v>
      </c>
      <c r="O51" s="32">
        <v>0.0</v>
      </c>
      <c r="P51" s="32">
        <v>0.0</v>
      </c>
      <c r="Q51" s="32">
        <v>0.0</v>
      </c>
      <c r="R51" s="11" t="s">
        <v>106</v>
      </c>
    </row>
    <row r="52" ht="14.25" customHeight="1">
      <c r="B52" s="10" t="s">
        <v>107</v>
      </c>
      <c r="C52" s="24">
        <f t="shared" ref="C52:K52" si="3">1*0.8</f>
        <v>0.8</v>
      </c>
      <c r="D52" s="24">
        <f t="shared" si="3"/>
        <v>0.8</v>
      </c>
      <c r="E52" s="24">
        <f t="shared" si="3"/>
        <v>0.8</v>
      </c>
      <c r="F52" s="24">
        <f t="shared" si="3"/>
        <v>0.8</v>
      </c>
      <c r="G52" s="24">
        <f t="shared" si="3"/>
        <v>0.8</v>
      </c>
      <c r="H52" s="24">
        <f t="shared" si="3"/>
        <v>0.8</v>
      </c>
      <c r="I52" s="24">
        <f t="shared" si="3"/>
        <v>0.8</v>
      </c>
      <c r="J52" s="24">
        <f t="shared" si="3"/>
        <v>0.8</v>
      </c>
      <c r="K52" s="24">
        <f t="shared" si="3"/>
        <v>0.8</v>
      </c>
      <c r="L52" s="24">
        <v>0.0</v>
      </c>
      <c r="M52" s="24">
        <v>0.0</v>
      </c>
      <c r="N52" s="24">
        <v>0.0</v>
      </c>
      <c r="O52" s="32">
        <v>0.0</v>
      </c>
      <c r="P52" s="32">
        <v>0.0</v>
      </c>
      <c r="Q52" s="32">
        <v>0.0</v>
      </c>
      <c r="R52" s="11" t="s">
        <v>106</v>
      </c>
    </row>
    <row r="53" ht="14.25" customHeight="1">
      <c r="B53" s="10" t="s">
        <v>108</v>
      </c>
      <c r="C53" s="24">
        <f t="shared" ref="C53:K53" si="4">1.6*1+0.56*0.57</f>
        <v>1.9192</v>
      </c>
      <c r="D53" s="24">
        <f t="shared" si="4"/>
        <v>1.9192</v>
      </c>
      <c r="E53" s="24">
        <f t="shared" si="4"/>
        <v>1.9192</v>
      </c>
      <c r="F53" s="24">
        <f t="shared" si="4"/>
        <v>1.9192</v>
      </c>
      <c r="G53" s="24">
        <f t="shared" si="4"/>
        <v>1.9192</v>
      </c>
      <c r="H53" s="24">
        <f t="shared" si="4"/>
        <v>1.9192</v>
      </c>
      <c r="I53" s="24">
        <f t="shared" si="4"/>
        <v>1.9192</v>
      </c>
      <c r="J53" s="24">
        <f t="shared" si="4"/>
        <v>1.9192</v>
      </c>
      <c r="K53" s="24">
        <f t="shared" si="4"/>
        <v>1.9192</v>
      </c>
      <c r="L53" s="24">
        <v>0.0</v>
      </c>
      <c r="M53" s="24">
        <v>0.0</v>
      </c>
      <c r="N53" s="24">
        <v>0.0</v>
      </c>
      <c r="O53" s="32">
        <v>0.0</v>
      </c>
      <c r="P53" s="32">
        <v>0.0</v>
      </c>
      <c r="Q53" s="32">
        <v>0.0</v>
      </c>
      <c r="R53" s="11" t="s">
        <v>106</v>
      </c>
    </row>
    <row r="54" ht="14.25" customHeight="1">
      <c r="B54" s="10" t="s">
        <v>109</v>
      </c>
      <c r="C54" s="24">
        <f t="shared" ref="C54:K54" si="5">0.8*0.8</f>
        <v>0.64</v>
      </c>
      <c r="D54" s="24">
        <f t="shared" si="5"/>
        <v>0.64</v>
      </c>
      <c r="E54" s="24">
        <f t="shared" si="5"/>
        <v>0.64</v>
      </c>
      <c r="F54" s="24">
        <f t="shared" si="5"/>
        <v>0.64</v>
      </c>
      <c r="G54" s="24">
        <f t="shared" si="5"/>
        <v>0.64</v>
      </c>
      <c r="H54" s="24">
        <f t="shared" si="5"/>
        <v>0.64</v>
      </c>
      <c r="I54" s="24">
        <f t="shared" si="5"/>
        <v>0.64</v>
      </c>
      <c r="J54" s="24">
        <f t="shared" si="5"/>
        <v>0.64</v>
      </c>
      <c r="K54" s="24">
        <f t="shared" si="5"/>
        <v>0.64</v>
      </c>
      <c r="L54" s="24">
        <v>0.0</v>
      </c>
      <c r="M54" s="24">
        <v>0.0</v>
      </c>
      <c r="N54" s="24">
        <v>0.0</v>
      </c>
      <c r="O54" s="32">
        <v>0.0</v>
      </c>
      <c r="P54" s="32">
        <v>0.0</v>
      </c>
      <c r="Q54" s="32">
        <v>0.0</v>
      </c>
      <c r="R54" s="11" t="s">
        <v>106</v>
      </c>
    </row>
    <row r="55" ht="14.25" customHeight="1">
      <c r="A55" s="10" t="s">
        <v>45</v>
      </c>
      <c r="B55" s="14" t="s">
        <v>110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1"/>
    </row>
    <row r="56" ht="14.25" customHeight="1">
      <c r="B56" s="10" t="s">
        <v>111</v>
      </c>
      <c r="C56" s="39">
        <v>5.0</v>
      </c>
      <c r="D56" s="39">
        <v>5.0</v>
      </c>
      <c r="E56" s="39">
        <v>5.0</v>
      </c>
      <c r="F56" s="39">
        <v>5.0</v>
      </c>
      <c r="G56" s="39">
        <v>5.0</v>
      </c>
      <c r="H56" s="39">
        <v>5.0</v>
      </c>
      <c r="I56" s="39">
        <v>5.0</v>
      </c>
      <c r="J56" s="39">
        <v>5.0</v>
      </c>
      <c r="K56" s="39">
        <v>5.0</v>
      </c>
      <c r="L56" s="39">
        <v>9.0</v>
      </c>
      <c r="M56" s="39">
        <v>13.0</v>
      </c>
      <c r="N56" s="39">
        <v>13.0</v>
      </c>
      <c r="O56" s="40">
        <v>1.9</v>
      </c>
      <c r="P56" s="40">
        <v>4.5</v>
      </c>
      <c r="Q56" s="40">
        <v>20.0</v>
      </c>
      <c r="R56" s="11" t="s">
        <v>112</v>
      </c>
    </row>
    <row r="57" ht="14.25" customHeight="1">
      <c r="B57" s="10" t="s">
        <v>113</v>
      </c>
      <c r="C57" s="39">
        <v>2.97</v>
      </c>
      <c r="D57" s="39">
        <v>2.97</v>
      </c>
      <c r="E57" s="39">
        <v>2.97</v>
      </c>
      <c r="F57" s="39">
        <v>2.97</v>
      </c>
      <c r="G57" s="39">
        <v>2.97</v>
      </c>
      <c r="H57" s="39">
        <v>2.97</v>
      </c>
      <c r="I57" s="39">
        <v>2.97</v>
      </c>
      <c r="J57" s="39">
        <v>2.97</v>
      </c>
      <c r="K57" s="39">
        <v>2.97</v>
      </c>
      <c r="L57" s="39">
        <v>5.0</v>
      </c>
      <c r="M57" s="39">
        <v>5.0</v>
      </c>
      <c r="N57" s="39">
        <v>5.0</v>
      </c>
      <c r="O57" s="40">
        <v>1.5</v>
      </c>
      <c r="P57" s="40">
        <v>11.0</v>
      </c>
      <c r="Q57" s="40">
        <v>45.0</v>
      </c>
      <c r="R57" s="11" t="s">
        <v>112</v>
      </c>
    </row>
    <row r="58" ht="14.25" customHeight="1">
      <c r="B58" s="10" t="s">
        <v>114</v>
      </c>
      <c r="C58" s="39">
        <v>0.34</v>
      </c>
      <c r="D58" s="39">
        <v>0.34</v>
      </c>
      <c r="E58" s="39">
        <v>0.34</v>
      </c>
      <c r="F58" s="39">
        <v>0.34</v>
      </c>
      <c r="G58" s="39">
        <v>0.34</v>
      </c>
      <c r="H58" s="39">
        <v>0.34</v>
      </c>
      <c r="I58" s="39">
        <v>0.34</v>
      </c>
      <c r="J58" s="39">
        <v>0.34</v>
      </c>
      <c r="K58" s="39">
        <v>0.34</v>
      </c>
      <c r="L58" s="39">
        <v>5.0</v>
      </c>
      <c r="M58" s="39">
        <v>5.0</v>
      </c>
      <c r="N58" s="39">
        <v>5.0</v>
      </c>
      <c r="O58" s="40">
        <v>0.0</v>
      </c>
      <c r="P58" s="40">
        <v>1.0</v>
      </c>
      <c r="Q58" s="40">
        <v>1.4</v>
      </c>
      <c r="R58" s="11" t="s">
        <v>112</v>
      </c>
    </row>
    <row r="59" ht="14.25" customHeight="1">
      <c r="B59" s="10" t="s">
        <v>115</v>
      </c>
      <c r="C59" s="39">
        <v>0.66</v>
      </c>
      <c r="D59" s="39">
        <v>0.66</v>
      </c>
      <c r="E59" s="39">
        <v>0.66</v>
      </c>
      <c r="F59" s="39">
        <v>0.66</v>
      </c>
      <c r="G59" s="39">
        <v>0.66</v>
      </c>
      <c r="H59" s="39">
        <v>0.66</v>
      </c>
      <c r="I59" s="39">
        <v>0.66</v>
      </c>
      <c r="J59" s="39">
        <v>0.66</v>
      </c>
      <c r="K59" s="39">
        <v>0.66</v>
      </c>
      <c r="L59" s="39">
        <v>0.66</v>
      </c>
      <c r="M59" s="39">
        <v>50.0</v>
      </c>
      <c r="N59" s="39">
        <v>50.0</v>
      </c>
      <c r="O59" s="40">
        <v>0.0</v>
      </c>
      <c r="P59" s="40">
        <v>1.0</v>
      </c>
      <c r="Q59" s="40">
        <v>15.0</v>
      </c>
      <c r="R59" s="11" t="s">
        <v>112</v>
      </c>
    </row>
    <row r="60" ht="14.25" customHeight="1">
      <c r="A60" s="10" t="s">
        <v>45</v>
      </c>
      <c r="B60" s="14" t="s">
        <v>116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1"/>
    </row>
    <row r="61" ht="14.25" customHeight="1">
      <c r="B61" s="10" t="s">
        <v>117</v>
      </c>
      <c r="C61" s="41">
        <f>189000+7995</f>
        <v>196995</v>
      </c>
      <c r="D61" s="41">
        <f>C61+25000</f>
        <v>221995</v>
      </c>
      <c r="E61" s="41">
        <f>C61+50000</f>
        <v>246995</v>
      </c>
      <c r="F61" s="41">
        <f>C61+60000</f>
        <v>256995</v>
      </c>
      <c r="G61" s="41">
        <f t="shared" ref="G61:H61" si="6">F61+25000</f>
        <v>281995</v>
      </c>
      <c r="H61" s="41">
        <f t="shared" si="6"/>
        <v>306995</v>
      </c>
      <c r="I61" s="41">
        <f>C61+110000</f>
        <v>306995</v>
      </c>
      <c r="J61" s="41">
        <f>I61+25000</f>
        <v>331995</v>
      </c>
      <c r="K61" s="41">
        <f>I61+50000</f>
        <v>356995</v>
      </c>
      <c r="L61" s="42">
        <v>471500.0</v>
      </c>
      <c r="M61" s="42">
        <v>1095000.0</v>
      </c>
      <c r="N61" s="42">
        <f>M61</f>
        <v>1095000</v>
      </c>
      <c r="O61" s="42">
        <f>246750+4335</f>
        <v>251085</v>
      </c>
      <c r="P61" s="42">
        <f>530145+5775+P75</f>
        <v>570570</v>
      </c>
      <c r="Q61" s="42">
        <f>924000+23100+Q76</f>
        <v>1033725</v>
      </c>
    </row>
    <row r="62" ht="14.25" customHeight="1">
      <c r="B62" s="10" t="s">
        <v>118</v>
      </c>
      <c r="C62" s="42">
        <f>1065*6</f>
        <v>6390</v>
      </c>
      <c r="D62" s="42">
        <f t="shared" ref="D62:K62" si="7">C62</f>
        <v>6390</v>
      </c>
      <c r="E62" s="42">
        <f t="shared" si="7"/>
        <v>6390</v>
      </c>
      <c r="F62" s="42">
        <f t="shared" si="7"/>
        <v>6390</v>
      </c>
      <c r="G62" s="42">
        <f t="shared" si="7"/>
        <v>6390</v>
      </c>
      <c r="H62" s="42">
        <f t="shared" si="7"/>
        <v>6390</v>
      </c>
      <c r="I62" s="42">
        <f t="shared" si="7"/>
        <v>6390</v>
      </c>
      <c r="J62" s="42">
        <f t="shared" si="7"/>
        <v>6390</v>
      </c>
      <c r="K62" s="42">
        <f t="shared" si="7"/>
        <v>6390</v>
      </c>
      <c r="L62" s="43">
        <v>0.0</v>
      </c>
      <c r="M62" s="43">
        <v>0.0</v>
      </c>
      <c r="N62" s="43">
        <v>0.0</v>
      </c>
      <c r="O62" s="43">
        <v>0.0</v>
      </c>
      <c r="P62" s="43">
        <v>0.0</v>
      </c>
      <c r="Q62" s="43">
        <v>0.0</v>
      </c>
    </row>
    <row r="63" ht="14.25" customHeight="1">
      <c r="B63" s="10" t="s">
        <v>119</v>
      </c>
      <c r="C63" s="42">
        <v>23540.0</v>
      </c>
      <c r="D63" s="42">
        <f t="shared" ref="D63:K63" si="8">C63</f>
        <v>23540</v>
      </c>
      <c r="E63" s="42">
        <f t="shared" si="8"/>
        <v>23540</v>
      </c>
      <c r="F63" s="42">
        <f t="shared" si="8"/>
        <v>23540</v>
      </c>
      <c r="G63" s="42">
        <f t="shared" si="8"/>
        <v>23540</v>
      </c>
      <c r="H63" s="42">
        <f t="shared" si="8"/>
        <v>23540</v>
      </c>
      <c r="I63" s="42">
        <f t="shared" si="8"/>
        <v>23540</v>
      </c>
      <c r="J63" s="42">
        <f t="shared" si="8"/>
        <v>23540</v>
      </c>
      <c r="K63" s="42">
        <f t="shared" si="8"/>
        <v>23540</v>
      </c>
      <c r="L63" s="42">
        <v>20000.0</v>
      </c>
      <c r="M63" s="42">
        <v>55000.0</v>
      </c>
      <c r="N63" s="42">
        <f>M63</f>
        <v>55000</v>
      </c>
      <c r="O63" s="42">
        <v>2760.0</v>
      </c>
      <c r="P63" s="42">
        <v>20790.0</v>
      </c>
      <c r="Q63" s="42">
        <v>231000.0</v>
      </c>
    </row>
    <row r="64" ht="14.25" customHeight="1">
      <c r="B64" s="10" t="s">
        <v>120</v>
      </c>
      <c r="C64" s="42">
        <v>0.0</v>
      </c>
      <c r="D64" s="42">
        <v>0.0</v>
      </c>
      <c r="E64" s="42">
        <v>0.0</v>
      </c>
      <c r="F64" s="42">
        <v>0.0</v>
      </c>
      <c r="G64" s="42">
        <v>0.0</v>
      </c>
      <c r="H64" s="42">
        <v>0.0</v>
      </c>
      <c r="I64" s="42"/>
      <c r="J64" s="42"/>
      <c r="K64" s="42"/>
      <c r="L64" s="43">
        <v>0.0</v>
      </c>
      <c r="M64" s="43">
        <v>0.0</v>
      </c>
      <c r="N64" s="43">
        <v>40000.0</v>
      </c>
      <c r="O64" s="43">
        <v>0.0</v>
      </c>
      <c r="P64" s="43">
        <v>0.0</v>
      </c>
      <c r="Q64" s="43">
        <v>0.0</v>
      </c>
      <c r="S64" s="10" t="s">
        <v>121</v>
      </c>
    </row>
    <row r="65" ht="14.25" customHeight="1">
      <c r="B65" s="10" t="s">
        <v>122</v>
      </c>
      <c r="C65" s="42">
        <v>35845.0</v>
      </c>
      <c r="D65" s="42">
        <f t="shared" ref="D65:K65" si="9">C65</f>
        <v>35845</v>
      </c>
      <c r="E65" s="42">
        <f t="shared" si="9"/>
        <v>35845</v>
      </c>
      <c r="F65" s="42">
        <f t="shared" si="9"/>
        <v>35845</v>
      </c>
      <c r="G65" s="42">
        <f t="shared" si="9"/>
        <v>35845</v>
      </c>
      <c r="H65" s="42">
        <f t="shared" si="9"/>
        <v>35845</v>
      </c>
      <c r="I65" s="42">
        <f t="shared" si="9"/>
        <v>35845</v>
      </c>
      <c r="J65" s="42">
        <f t="shared" si="9"/>
        <v>35845</v>
      </c>
      <c r="K65" s="42">
        <f t="shared" si="9"/>
        <v>35845</v>
      </c>
      <c r="L65" s="42">
        <v>120000.0</v>
      </c>
      <c r="M65" s="42">
        <v>200000.0</v>
      </c>
      <c r="N65" s="42">
        <f t="shared" ref="N65:N66" si="11">M65</f>
        <v>200000</v>
      </c>
      <c r="O65" s="42">
        <v>12735.0</v>
      </c>
      <c r="P65" s="42">
        <v>38695.0</v>
      </c>
      <c r="Q65" s="42">
        <v>115500.0</v>
      </c>
    </row>
    <row r="66" ht="14.25" customHeight="1">
      <c r="B66" s="10" t="s">
        <v>123</v>
      </c>
      <c r="C66" s="42">
        <v>9795.0</v>
      </c>
      <c r="D66" s="42">
        <f t="shared" ref="D66:K66" si="10">C66</f>
        <v>9795</v>
      </c>
      <c r="E66" s="42">
        <f t="shared" si="10"/>
        <v>9795</v>
      </c>
      <c r="F66" s="42">
        <f t="shared" si="10"/>
        <v>9795</v>
      </c>
      <c r="G66" s="42">
        <f t="shared" si="10"/>
        <v>9795</v>
      </c>
      <c r="H66" s="42">
        <f t="shared" si="10"/>
        <v>9795</v>
      </c>
      <c r="I66" s="42">
        <f t="shared" si="10"/>
        <v>9795</v>
      </c>
      <c r="J66" s="42">
        <f t="shared" si="10"/>
        <v>9795</v>
      </c>
      <c r="K66" s="42">
        <f t="shared" si="10"/>
        <v>9795</v>
      </c>
      <c r="L66" s="42">
        <f>9795+1065</f>
        <v>10860</v>
      </c>
      <c r="M66" s="42">
        <v>400000.0</v>
      </c>
      <c r="N66" s="42">
        <f t="shared" si="11"/>
        <v>400000</v>
      </c>
      <c r="O66" s="43">
        <v>0.0</v>
      </c>
      <c r="P66" s="42">
        <v>167525.0</v>
      </c>
      <c r="Q66" s="42">
        <v>404250.0</v>
      </c>
    </row>
    <row r="67" ht="14.25" customHeight="1">
      <c r="B67" s="10" t="s">
        <v>124</v>
      </c>
      <c r="C67" s="42">
        <f>IF(Universal!printer_index&lt;13,IF(Universal!furnace_sel="DM PureSinter",210000,125000),"")</f>
        <v>210000</v>
      </c>
      <c r="D67" s="42">
        <f>IF(Universal!printer_index&lt;13,IF(Universal!furnace_sel="DM PureSinter",210000,125000),"")</f>
        <v>210000</v>
      </c>
      <c r="E67" s="42">
        <f>IF(Universal!printer_index&lt;13,IF(Universal!furnace_sel="DM PureSinter",210000,125000),"")</f>
        <v>210000</v>
      </c>
      <c r="F67" s="42">
        <f>IF(Universal!printer_index&lt;13,IF(Universal!furnace_sel="DM PureSinter",210000,125000),"")</f>
        <v>210000</v>
      </c>
      <c r="G67" s="42">
        <f>IF(Universal!printer_index&lt;13,IF(Universal!furnace_sel="DM PureSinter",210000,125000),"")</f>
        <v>210000</v>
      </c>
      <c r="H67" s="42">
        <f>IF(Universal!printer_index&lt;13,IF(Universal!furnace_sel="DM PureSinter",210000,125000),"")</f>
        <v>210000</v>
      </c>
      <c r="I67" s="42">
        <f>IF(Universal!printer_index&lt;13,IF(Universal!furnace_sel="DM PureSinter",210000,125000),"")</f>
        <v>210000</v>
      </c>
      <c r="J67" s="42">
        <f>IF(Universal!printer_index&lt;13,IF(Universal!furnace_sel="DM PureSinter",210000,125000),"")</f>
        <v>210000</v>
      </c>
      <c r="K67" s="42">
        <f>IF(Universal!printer_index&lt;13,IF(Universal!furnace_sel="DM PureSinter",210000,125000),"")</f>
        <v>210000</v>
      </c>
      <c r="L67" s="42">
        <f>IF(Universal!printer_index&lt;13,IF(Universal!furnace_sel="DM PureSinter",210000,125000),"")</f>
        <v>210000</v>
      </c>
      <c r="M67" s="42">
        <f>IF(Universal!printer_index&lt;13,IF(Universal!furnace_sel="DM PureSinter",210000,125000),"")</f>
        <v>210000</v>
      </c>
      <c r="N67" s="42">
        <f>IF(Universal!printer_index&lt;13,IF(Universal!furnace_sel="DM PureSinter",210000,125000),"")</f>
        <v>210000</v>
      </c>
      <c r="O67" s="42">
        <f>IF(Universal!printer_index&lt;13,IF(Universal!furnace_sel="DM PureSinter",210000,125000),"")</f>
        <v>210000</v>
      </c>
      <c r="P67" s="42">
        <f>IF(Universal!printer_index&lt;13,IF(Universal!furnace_sel="DM PureSinter",210000,125000),"")</f>
        <v>210000</v>
      </c>
      <c r="Q67" s="42">
        <f>IF(Universal!printer_index&lt;13,IF(Universal!furnace_sel="DM PureSinter",210000,125000),"")</f>
        <v>210000</v>
      </c>
    </row>
    <row r="68" ht="14.25" customHeight="1">
      <c r="B68" s="10" t="s">
        <v>125</v>
      </c>
      <c r="C68" s="42">
        <v>7995.0</v>
      </c>
      <c r="D68" s="42">
        <f t="shared" ref="D68:K68" si="12">C68</f>
        <v>7995</v>
      </c>
      <c r="E68" s="42">
        <f t="shared" si="12"/>
        <v>7995</v>
      </c>
      <c r="F68" s="42">
        <f t="shared" si="12"/>
        <v>7995</v>
      </c>
      <c r="G68" s="42">
        <f t="shared" si="12"/>
        <v>7995</v>
      </c>
      <c r="H68" s="42">
        <f t="shared" si="12"/>
        <v>7995</v>
      </c>
      <c r="I68" s="42">
        <f t="shared" si="12"/>
        <v>7995</v>
      </c>
      <c r="J68" s="42">
        <f t="shared" si="12"/>
        <v>7995</v>
      </c>
      <c r="K68" s="42">
        <f t="shared" si="12"/>
        <v>7995</v>
      </c>
      <c r="L68" s="43">
        <v>0.0</v>
      </c>
      <c r="M68" s="43">
        <v>0.0</v>
      </c>
      <c r="N68" s="43">
        <v>0.0</v>
      </c>
      <c r="O68" s="42">
        <v>5380.0</v>
      </c>
      <c r="P68" s="42">
        <v>5380.0</v>
      </c>
      <c r="Q68" s="43">
        <v>0.0</v>
      </c>
    </row>
    <row r="69" ht="14.25" customHeight="1">
      <c r="B69" s="10" t="s">
        <v>126</v>
      </c>
      <c r="C69" s="42">
        <v>8995.0</v>
      </c>
      <c r="D69" s="42">
        <v>8995.0</v>
      </c>
      <c r="E69" s="42">
        <v>8995.0</v>
      </c>
      <c r="F69" s="42">
        <v>8995.0</v>
      </c>
      <c r="G69" s="42">
        <v>8995.0</v>
      </c>
      <c r="H69" s="42">
        <v>8995.0</v>
      </c>
      <c r="I69" s="42">
        <v>8995.0</v>
      </c>
      <c r="J69" s="42">
        <v>8995.0</v>
      </c>
      <c r="K69" s="42">
        <v>8995.0</v>
      </c>
      <c r="L69" s="43">
        <v>0.0</v>
      </c>
      <c r="M69" s="42">
        <v>27500.0</v>
      </c>
      <c r="N69" s="42">
        <f t="shared" ref="N69:N70" si="14">M69</f>
        <v>27500</v>
      </c>
      <c r="O69" s="43">
        <v>0.0</v>
      </c>
      <c r="P69" s="42">
        <v>40425.0</v>
      </c>
      <c r="Q69" s="42">
        <v>86625.0</v>
      </c>
    </row>
    <row r="70" ht="14.25" customHeight="1">
      <c r="B70" s="10" t="s">
        <v>127</v>
      </c>
      <c r="C70" s="42">
        <v>1600.0</v>
      </c>
      <c r="D70" s="42">
        <f t="shared" ref="D70:K70" si="13">C70</f>
        <v>1600</v>
      </c>
      <c r="E70" s="42">
        <f t="shared" si="13"/>
        <v>1600</v>
      </c>
      <c r="F70" s="42">
        <f t="shared" si="13"/>
        <v>1600</v>
      </c>
      <c r="G70" s="42">
        <f t="shared" si="13"/>
        <v>1600</v>
      </c>
      <c r="H70" s="42">
        <f t="shared" si="13"/>
        <v>1600</v>
      </c>
      <c r="I70" s="42">
        <f t="shared" si="13"/>
        <v>1600</v>
      </c>
      <c r="J70" s="42">
        <f t="shared" si="13"/>
        <v>1600</v>
      </c>
      <c r="K70" s="42">
        <f t="shared" si="13"/>
        <v>1600</v>
      </c>
      <c r="L70" s="42">
        <v>4140.0</v>
      </c>
      <c r="M70" s="42">
        <v>25000.0</v>
      </c>
      <c r="N70" s="42">
        <f t="shared" si="14"/>
        <v>25000</v>
      </c>
      <c r="O70" s="42">
        <v>1575.0</v>
      </c>
      <c r="P70" s="42">
        <v>11550.0</v>
      </c>
      <c r="Q70" s="42">
        <v>28875.0</v>
      </c>
    </row>
    <row r="71" ht="14.25" customHeight="1">
      <c r="A71" s="10" t="s">
        <v>45</v>
      </c>
      <c r="B71" s="14" t="s">
        <v>128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1"/>
    </row>
    <row r="72" ht="14.25" customHeight="1">
      <c r="B72" s="10" t="s">
        <v>129</v>
      </c>
      <c r="C72" s="44">
        <v>300.0</v>
      </c>
      <c r="D72" s="44">
        <v>300.0</v>
      </c>
      <c r="E72" s="44">
        <v>300.0</v>
      </c>
      <c r="F72" s="44">
        <v>150.0</v>
      </c>
      <c r="G72" s="44">
        <v>150.0</v>
      </c>
      <c r="H72" s="44">
        <v>150.0</v>
      </c>
      <c r="I72" s="44">
        <v>150.0</v>
      </c>
      <c r="J72" s="44">
        <v>150.0</v>
      </c>
      <c r="K72" s="44">
        <v>150.0</v>
      </c>
      <c r="L72" s="44">
        <v>200.0</v>
      </c>
      <c r="M72" s="44">
        <v>200.0</v>
      </c>
      <c r="N72" s="44">
        <v>200.0</v>
      </c>
      <c r="O72" s="44">
        <v>150.0</v>
      </c>
      <c r="P72" s="44">
        <v>150.0</v>
      </c>
      <c r="Q72" s="44">
        <v>150.0</v>
      </c>
    </row>
    <row r="73" ht="14.25" customHeight="1">
      <c r="B73" s="10" t="s">
        <v>130</v>
      </c>
      <c r="C73" s="44"/>
      <c r="D73" s="44"/>
      <c r="E73" s="44"/>
      <c r="F73" s="44"/>
      <c r="G73" s="44"/>
      <c r="H73" s="44"/>
      <c r="I73" s="44"/>
      <c r="J73" s="44"/>
      <c r="K73" s="44"/>
      <c r="L73" s="44">
        <v>150.0</v>
      </c>
      <c r="M73" s="44">
        <v>150.0</v>
      </c>
      <c r="N73" s="44">
        <v>150.0</v>
      </c>
      <c r="O73" s="44">
        <v>125.0</v>
      </c>
      <c r="P73" s="44">
        <v>125.0</v>
      </c>
      <c r="Q73" s="44">
        <v>125.0</v>
      </c>
    </row>
    <row r="74" ht="14.25" customHeight="1">
      <c r="B74" s="10" t="s">
        <v>131</v>
      </c>
      <c r="C74" s="44"/>
      <c r="D74" s="44"/>
      <c r="E74" s="44"/>
      <c r="F74" s="44"/>
      <c r="G74" s="44"/>
      <c r="H74" s="44"/>
      <c r="I74" s="44"/>
      <c r="J74" s="44"/>
      <c r="K74" s="44"/>
      <c r="L74" s="44">
        <v>100.0</v>
      </c>
      <c r="M74" s="44">
        <v>100.0</v>
      </c>
      <c r="N74" s="44">
        <v>100.0</v>
      </c>
      <c r="O74" s="44">
        <v>100.0</v>
      </c>
      <c r="P74" s="44">
        <v>100.0</v>
      </c>
      <c r="Q74" s="44">
        <v>100.0</v>
      </c>
    </row>
    <row r="75" ht="14.25" customHeight="1">
      <c r="B75" s="10" t="s">
        <v>132</v>
      </c>
      <c r="C75" s="44">
        <v>695.0</v>
      </c>
      <c r="D75" s="44">
        <v>695.0</v>
      </c>
      <c r="E75" s="44">
        <v>695.0</v>
      </c>
      <c r="F75" s="44">
        <v>695.0</v>
      </c>
      <c r="G75" s="44">
        <v>695.0</v>
      </c>
      <c r="H75" s="44">
        <v>695.0</v>
      </c>
      <c r="I75" s="44">
        <v>695.0</v>
      </c>
      <c r="J75" s="44">
        <v>695.0</v>
      </c>
      <c r="K75" s="44">
        <v>695.0</v>
      </c>
      <c r="L75" s="44">
        <f>6615*2</f>
        <v>13230</v>
      </c>
      <c r="M75" s="44">
        <f t="shared" ref="M75:N75" si="15">6000*8</f>
        <v>48000</v>
      </c>
      <c r="N75" s="44">
        <f t="shared" si="15"/>
        <v>48000</v>
      </c>
      <c r="O75" s="44">
        <v>7615.0</v>
      </c>
      <c r="P75" s="44">
        <v>34650.0</v>
      </c>
      <c r="R75" s="11"/>
    </row>
    <row r="76" ht="14.25" customHeight="1">
      <c r="B76" s="10" t="s">
        <v>133</v>
      </c>
      <c r="C76" s="44">
        <v>231.0</v>
      </c>
      <c r="D76" s="44">
        <v>231.0</v>
      </c>
      <c r="E76" s="44">
        <v>231.0</v>
      </c>
      <c r="F76" s="44">
        <v>231.0</v>
      </c>
      <c r="G76" s="44">
        <v>231.0</v>
      </c>
      <c r="H76" s="44">
        <v>231.0</v>
      </c>
      <c r="I76" s="44">
        <v>231.0</v>
      </c>
      <c r="J76" s="44">
        <v>231.0</v>
      </c>
      <c r="K76" s="44">
        <v>231.0</v>
      </c>
      <c r="L76" s="44"/>
      <c r="M76" s="44"/>
      <c r="N76" s="44"/>
      <c r="O76" s="44"/>
      <c r="P76" s="44"/>
      <c r="Q76" s="44">
        <v>86625.0</v>
      </c>
      <c r="R76" s="11"/>
    </row>
    <row r="77" ht="14.25" customHeight="1">
      <c r="B77" s="10" t="s">
        <v>134</v>
      </c>
      <c r="C77" s="44">
        <v>81.0</v>
      </c>
      <c r="D77" s="44">
        <v>81.0</v>
      </c>
      <c r="E77" s="44">
        <v>81.0</v>
      </c>
      <c r="F77" s="44">
        <v>81.0</v>
      </c>
      <c r="G77" s="44">
        <v>81.0</v>
      </c>
      <c r="H77" s="44">
        <v>81.0</v>
      </c>
      <c r="I77" s="44">
        <v>81.0</v>
      </c>
      <c r="J77" s="44">
        <v>81.0</v>
      </c>
      <c r="K77" s="44">
        <v>81.0</v>
      </c>
      <c r="L77" s="44"/>
      <c r="M77" s="44"/>
      <c r="N77" s="44"/>
      <c r="O77" s="44"/>
      <c r="P77" s="44"/>
      <c r="Q77" s="44"/>
      <c r="R77" s="11"/>
    </row>
    <row r="78" ht="14.25" customHeight="1">
      <c r="B78" s="10" t="s">
        <v>129</v>
      </c>
      <c r="C78" s="44">
        <f t="shared" ref="C78:Q78" si="16">C72</f>
        <v>300</v>
      </c>
      <c r="D78" s="44">
        <f t="shared" si="16"/>
        <v>300</v>
      </c>
      <c r="E78" s="44">
        <f t="shared" si="16"/>
        <v>300</v>
      </c>
      <c r="F78" s="44">
        <f t="shared" si="16"/>
        <v>150</v>
      </c>
      <c r="G78" s="44">
        <f t="shared" si="16"/>
        <v>150</v>
      </c>
      <c r="H78" s="44">
        <f t="shared" si="16"/>
        <v>150</v>
      </c>
      <c r="I78" s="44">
        <f t="shared" si="16"/>
        <v>150</v>
      </c>
      <c r="J78" s="44">
        <f t="shared" si="16"/>
        <v>150</v>
      </c>
      <c r="K78" s="44">
        <f t="shared" si="16"/>
        <v>150</v>
      </c>
      <c r="L78" s="44">
        <f t="shared" si="16"/>
        <v>200</v>
      </c>
      <c r="M78" s="44">
        <f t="shared" si="16"/>
        <v>200</v>
      </c>
      <c r="N78" s="44">
        <f t="shared" si="16"/>
        <v>200</v>
      </c>
      <c r="O78" s="44">
        <f t="shared" si="16"/>
        <v>150</v>
      </c>
      <c r="P78" s="44">
        <f t="shared" si="16"/>
        <v>150</v>
      </c>
      <c r="Q78" s="44">
        <f t="shared" si="16"/>
        <v>150</v>
      </c>
      <c r="R78" s="11"/>
    </row>
    <row r="79" ht="14.25" customHeight="1">
      <c r="B79" s="10" t="s">
        <v>135</v>
      </c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>
        <v>3.6</v>
      </c>
      <c r="P79" s="44">
        <v>3.6</v>
      </c>
      <c r="Q79" s="44">
        <v>3.6</v>
      </c>
      <c r="R79" s="11"/>
    </row>
    <row r="80" ht="14.25" customHeight="1">
      <c r="A80" s="10" t="s">
        <v>45</v>
      </c>
      <c r="B80" s="14" t="s">
        <v>136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1"/>
    </row>
    <row r="81" ht="14.25" customHeight="1">
      <c r="B81" s="45">
        <v>420.0</v>
      </c>
      <c r="C81" s="44"/>
      <c r="D81" s="44"/>
      <c r="E81" s="44"/>
      <c r="F81" s="44"/>
      <c r="G81" s="44"/>
      <c r="H81" s="44"/>
      <c r="I81" s="44"/>
      <c r="J81" s="44"/>
      <c r="K81" s="44"/>
      <c r="L81" s="44">
        <v>22.0</v>
      </c>
      <c r="M81" s="44">
        <v>22.0</v>
      </c>
      <c r="N81" s="44">
        <v>22.0</v>
      </c>
      <c r="O81" s="44"/>
      <c r="P81" s="44"/>
      <c r="Q81" s="44"/>
      <c r="R81" s="11"/>
    </row>
    <row r="82" ht="14.25" customHeight="1">
      <c r="B82" s="9">
        <v>4140.0</v>
      </c>
      <c r="C82" s="44"/>
      <c r="D82" s="44"/>
      <c r="E82" s="44"/>
      <c r="F82" s="44"/>
      <c r="G82" s="44"/>
      <c r="H82" s="44"/>
      <c r="I82" s="44"/>
      <c r="J82" s="44"/>
      <c r="K82" s="44"/>
      <c r="L82" s="44">
        <v>29.5</v>
      </c>
      <c r="M82" s="44">
        <v>29.5</v>
      </c>
      <c r="N82" s="44">
        <v>29.5</v>
      </c>
      <c r="O82" s="44">
        <v>29.5</v>
      </c>
      <c r="P82" s="44">
        <v>29.5</v>
      </c>
      <c r="Q82" s="44">
        <v>29.5</v>
      </c>
      <c r="R82" s="11"/>
    </row>
    <row r="83" ht="14.25" customHeight="1">
      <c r="B83" s="10" t="s">
        <v>137</v>
      </c>
      <c r="C83" s="46">
        <v>50.0</v>
      </c>
      <c r="D83" s="46">
        <v>50.0</v>
      </c>
      <c r="E83" s="46">
        <v>50.0</v>
      </c>
      <c r="F83" s="46">
        <v>78.0</v>
      </c>
      <c r="G83" s="46">
        <v>78.0</v>
      </c>
      <c r="H83" s="46">
        <v>78.0</v>
      </c>
      <c r="I83" s="46">
        <v>40.0</v>
      </c>
      <c r="J83" s="46">
        <v>40.0</v>
      </c>
      <c r="K83" s="46">
        <v>40.0</v>
      </c>
      <c r="L83" s="44">
        <v>50.0</v>
      </c>
      <c r="M83" s="44">
        <v>50.0</v>
      </c>
      <c r="N83" s="44">
        <v>50.0</v>
      </c>
      <c r="O83" s="44">
        <v>34.65</v>
      </c>
      <c r="P83" s="44">
        <v>34.65</v>
      </c>
      <c r="Q83" s="44">
        <v>34.65</v>
      </c>
      <c r="R83" s="11"/>
    </row>
    <row r="84" ht="14.25" customHeight="1">
      <c r="B84" s="9" t="s">
        <v>138</v>
      </c>
      <c r="C84" s="44"/>
      <c r="D84" s="44"/>
      <c r="E84" s="44"/>
      <c r="F84" s="44"/>
      <c r="G84" s="44"/>
      <c r="H84" s="44"/>
      <c r="I84" s="44"/>
      <c r="J84" s="44"/>
      <c r="K84" s="44"/>
      <c r="L84" s="44">
        <v>34.0</v>
      </c>
      <c r="M84" s="44">
        <v>34.0</v>
      </c>
      <c r="N84" s="44">
        <v>34.0</v>
      </c>
      <c r="O84" s="44"/>
      <c r="P84" s="44"/>
      <c r="Q84" s="44"/>
      <c r="R84" s="11"/>
    </row>
    <row r="85" ht="14.25" customHeight="1">
      <c r="B85" s="10" t="s">
        <v>139</v>
      </c>
      <c r="C85" s="44">
        <v>99.0</v>
      </c>
      <c r="D85" s="44">
        <v>99.0</v>
      </c>
      <c r="E85" s="44">
        <v>99.0</v>
      </c>
      <c r="F85" s="47">
        <f t="shared" ref="F85:H85" si="17">C85*0.7</f>
        <v>69.3</v>
      </c>
      <c r="G85" s="47">
        <f t="shared" si="17"/>
        <v>69.3</v>
      </c>
      <c r="H85" s="47">
        <f t="shared" si="17"/>
        <v>69.3</v>
      </c>
      <c r="I85" s="47">
        <f t="shared" ref="I85:K85" si="18">C85*0.7</f>
        <v>69.3</v>
      </c>
      <c r="J85" s="47">
        <f t="shared" si="18"/>
        <v>69.3</v>
      </c>
      <c r="K85" s="47">
        <f t="shared" si="18"/>
        <v>69.3</v>
      </c>
      <c r="L85" s="44"/>
      <c r="M85" s="44"/>
      <c r="N85" s="44"/>
      <c r="O85" s="44">
        <v>27.0</v>
      </c>
      <c r="P85" s="44">
        <v>27.0</v>
      </c>
      <c r="Q85" s="44">
        <v>27.0</v>
      </c>
      <c r="R85" s="11"/>
    </row>
    <row r="86" ht="14.25" customHeight="1">
      <c r="B86" s="10" t="s">
        <v>140</v>
      </c>
      <c r="C86" s="44">
        <v>50.0</v>
      </c>
      <c r="D86" s="44">
        <v>50.0</v>
      </c>
      <c r="E86" s="44">
        <v>50.0</v>
      </c>
      <c r="F86" s="47">
        <v>78.0</v>
      </c>
      <c r="G86" s="47">
        <v>78.0</v>
      </c>
      <c r="H86" s="47">
        <v>78.0</v>
      </c>
      <c r="I86" s="47">
        <v>40.0</v>
      </c>
      <c r="J86" s="47">
        <v>40.0</v>
      </c>
      <c r="K86" s="47">
        <v>40.0</v>
      </c>
      <c r="L86" s="44">
        <v>88.0</v>
      </c>
      <c r="M86" s="44">
        <v>88.0</v>
      </c>
      <c r="N86" s="44">
        <v>88.0</v>
      </c>
      <c r="O86" s="44">
        <v>34.65</v>
      </c>
      <c r="P86" s="44">
        <v>34.65</v>
      </c>
      <c r="Q86" s="44">
        <v>34.65</v>
      </c>
      <c r="R86" s="11"/>
    </row>
    <row r="87" ht="14.25" customHeight="1">
      <c r="B87" s="10" t="s">
        <v>141</v>
      </c>
      <c r="C87" s="44"/>
      <c r="D87" s="44"/>
      <c r="E87" s="44"/>
      <c r="F87" s="47"/>
      <c r="G87" s="47"/>
      <c r="H87" s="47"/>
      <c r="I87" s="47"/>
      <c r="J87" s="47"/>
      <c r="K87" s="47"/>
      <c r="L87" s="44">
        <v>34.0</v>
      </c>
      <c r="M87" s="44">
        <v>34.0</v>
      </c>
      <c r="N87" s="44">
        <v>34.0</v>
      </c>
      <c r="O87" s="44"/>
      <c r="P87" s="44"/>
      <c r="Q87" s="44"/>
      <c r="R87" s="11"/>
    </row>
    <row r="88" ht="14.25" customHeight="1">
      <c r="B88" s="10" t="s">
        <v>142</v>
      </c>
      <c r="C88" s="44"/>
      <c r="D88" s="44"/>
      <c r="E88" s="44"/>
      <c r="F88" s="47"/>
      <c r="G88" s="47"/>
      <c r="H88" s="47"/>
      <c r="I88" s="47"/>
      <c r="J88" s="47"/>
      <c r="K88" s="47"/>
      <c r="L88" s="46">
        <v>56.0</v>
      </c>
      <c r="M88" s="46">
        <v>56.0</v>
      </c>
      <c r="N88" s="46">
        <v>56.0</v>
      </c>
      <c r="O88" s="44"/>
      <c r="P88" s="44"/>
      <c r="Q88" s="44"/>
      <c r="R88" s="11"/>
    </row>
    <row r="89" ht="14.25" customHeight="1">
      <c r="B89" s="10" t="s">
        <v>143</v>
      </c>
      <c r="C89" s="44"/>
      <c r="D89" s="44"/>
      <c r="E89" s="44"/>
      <c r="F89" s="44"/>
      <c r="G89" s="44"/>
      <c r="H89" s="44"/>
      <c r="I89" s="44"/>
      <c r="J89" s="44"/>
      <c r="K89" s="44"/>
      <c r="L89" s="44">
        <v>78.0</v>
      </c>
      <c r="M89" s="44">
        <v>78.0</v>
      </c>
      <c r="N89" s="44">
        <v>78.0</v>
      </c>
      <c r="O89" s="44">
        <v>78.0</v>
      </c>
      <c r="P89" s="44">
        <v>78.0</v>
      </c>
      <c r="Q89" s="44">
        <v>78.0</v>
      </c>
      <c r="R89" s="11"/>
    </row>
    <row r="90" ht="14.25" customHeight="1">
      <c r="B90" s="10" t="s">
        <v>144</v>
      </c>
      <c r="C90" s="44">
        <v>325.0</v>
      </c>
      <c r="D90" s="44">
        <v>325.0</v>
      </c>
      <c r="E90" s="44">
        <v>325.0</v>
      </c>
      <c r="F90" s="47">
        <f t="shared" ref="F90:H90" si="19">C90*0.7</f>
        <v>227.5</v>
      </c>
      <c r="G90" s="47">
        <f t="shared" si="19"/>
        <v>227.5</v>
      </c>
      <c r="H90" s="47">
        <f t="shared" si="19"/>
        <v>227.5</v>
      </c>
      <c r="I90" s="47">
        <f t="shared" ref="I90:K90" si="20">C90*0.7</f>
        <v>227.5</v>
      </c>
      <c r="J90" s="47">
        <f t="shared" si="20"/>
        <v>227.5</v>
      </c>
      <c r="K90" s="47">
        <f t="shared" si="20"/>
        <v>227.5</v>
      </c>
      <c r="L90" s="44"/>
      <c r="M90" s="44"/>
      <c r="N90" s="44"/>
      <c r="O90" s="48" t="s">
        <v>145</v>
      </c>
      <c r="P90" s="44">
        <v>105.0</v>
      </c>
      <c r="Q90" s="44">
        <v>105.0</v>
      </c>
      <c r="R90" s="11"/>
    </row>
    <row r="91" ht="14.25" customHeight="1">
      <c r="B91" s="10" t="s">
        <v>146</v>
      </c>
      <c r="C91" s="44"/>
      <c r="D91" s="44"/>
      <c r="E91" s="44"/>
      <c r="F91" s="44"/>
      <c r="G91" s="44"/>
      <c r="H91" s="44"/>
      <c r="I91" s="44"/>
      <c r="J91" s="44"/>
      <c r="K91" s="44"/>
      <c r="L91" s="44">
        <v>57.0</v>
      </c>
      <c r="M91" s="44">
        <v>57.0</v>
      </c>
      <c r="N91" s="44">
        <v>57.0</v>
      </c>
      <c r="O91" s="44">
        <v>47.0</v>
      </c>
      <c r="P91" s="44">
        <v>47.0</v>
      </c>
      <c r="Q91" s="44">
        <v>47.0</v>
      </c>
      <c r="R91" s="11"/>
    </row>
    <row r="92" ht="14.25" customHeight="1">
      <c r="B92" s="9" t="s">
        <v>147</v>
      </c>
      <c r="C92" s="44"/>
      <c r="D92" s="44"/>
      <c r="E92" s="44"/>
      <c r="F92" s="44"/>
      <c r="G92" s="44"/>
      <c r="H92" s="44"/>
      <c r="I92" s="44"/>
      <c r="J92" s="44"/>
      <c r="K92" s="44"/>
      <c r="L92" s="44">
        <v>26.6</v>
      </c>
      <c r="M92" s="44">
        <v>26.6</v>
      </c>
      <c r="N92" s="44">
        <v>26.6</v>
      </c>
      <c r="O92" s="44"/>
      <c r="P92" s="44"/>
      <c r="Q92" s="44"/>
      <c r="R92" s="11"/>
    </row>
    <row r="93" ht="14.25" customHeight="1">
      <c r="B93" s="10" t="s">
        <v>148</v>
      </c>
      <c r="C93" s="44"/>
      <c r="D93" s="44"/>
      <c r="E93" s="44"/>
      <c r="F93" s="44"/>
      <c r="G93" s="44"/>
      <c r="H93" s="44"/>
      <c r="I93" s="49">
        <v>58407.0</v>
      </c>
      <c r="J93" s="49">
        <v>58407.0</v>
      </c>
      <c r="K93" s="49">
        <v>58407.0</v>
      </c>
      <c r="L93" s="44">
        <v>58407.0</v>
      </c>
      <c r="M93" s="44">
        <v>58407.0</v>
      </c>
      <c r="N93" s="44">
        <v>58407.0</v>
      </c>
      <c r="O93" s="44">
        <v>58407.0</v>
      </c>
      <c r="P93" s="44">
        <v>58407.0</v>
      </c>
      <c r="Q93" s="44">
        <v>58407.0</v>
      </c>
      <c r="R93" s="11"/>
    </row>
    <row r="94" ht="14.25" customHeight="1">
      <c r="B94" s="10" t="s">
        <v>149</v>
      </c>
      <c r="C94" s="44"/>
      <c r="D94" s="44"/>
      <c r="E94" s="44"/>
      <c r="F94" s="44"/>
      <c r="G94" s="44"/>
      <c r="H94" s="44"/>
      <c r="I94" s="44"/>
      <c r="J94" s="44"/>
      <c r="K94" s="44"/>
      <c r="L94" s="44">
        <v>80.0</v>
      </c>
      <c r="M94" s="44">
        <v>80.0</v>
      </c>
      <c r="N94" s="44">
        <v>80.0</v>
      </c>
      <c r="O94" s="44">
        <v>80.0</v>
      </c>
      <c r="P94" s="44">
        <v>80.0</v>
      </c>
      <c r="Q94" s="44">
        <v>80.0</v>
      </c>
      <c r="R94" s="11"/>
    </row>
    <row r="95" ht="14.25" customHeight="1">
      <c r="B95" s="9" t="s">
        <v>150</v>
      </c>
      <c r="C95" s="49">
        <v>299.0</v>
      </c>
      <c r="D95" s="49">
        <v>299.0</v>
      </c>
      <c r="E95" s="49">
        <v>299.0</v>
      </c>
      <c r="F95" s="47">
        <f t="shared" ref="F95:H95" si="21">C95*0.7</f>
        <v>209.3</v>
      </c>
      <c r="G95" s="47">
        <f t="shared" si="21"/>
        <v>209.3</v>
      </c>
      <c r="H95" s="47">
        <f t="shared" si="21"/>
        <v>209.3</v>
      </c>
      <c r="I95" s="47">
        <f t="shared" ref="I95:K95" si="22">C95*0.7</f>
        <v>209.3</v>
      </c>
      <c r="J95" s="47">
        <f t="shared" si="22"/>
        <v>209.3</v>
      </c>
      <c r="K95" s="47">
        <f t="shared" si="22"/>
        <v>209.3</v>
      </c>
      <c r="L95" s="44">
        <v>145.0</v>
      </c>
      <c r="M95" s="44">
        <v>145.0</v>
      </c>
      <c r="N95" s="44">
        <v>145.0</v>
      </c>
      <c r="O95" s="44">
        <v>145.0</v>
      </c>
      <c r="P95" s="44">
        <v>145.0</v>
      </c>
      <c r="Q95" s="44">
        <v>145.0</v>
      </c>
      <c r="R95" s="11"/>
    </row>
    <row r="96" ht="14.25" customHeight="1">
      <c r="B96" s="10" t="s">
        <v>151</v>
      </c>
      <c r="C96" s="49">
        <v>249.0</v>
      </c>
      <c r="D96" s="49">
        <v>249.0</v>
      </c>
      <c r="E96" s="49">
        <v>249.0</v>
      </c>
      <c r="F96" s="47">
        <f t="shared" ref="F96:H96" si="23">C96*0.7</f>
        <v>174.3</v>
      </c>
      <c r="G96" s="47">
        <f t="shared" si="23"/>
        <v>174.3</v>
      </c>
      <c r="H96" s="47">
        <f t="shared" si="23"/>
        <v>174.3</v>
      </c>
      <c r="I96" s="47">
        <f t="shared" ref="I96:K96" si="24">C96*0.7</f>
        <v>174.3</v>
      </c>
      <c r="J96" s="47">
        <f t="shared" si="24"/>
        <v>174.3</v>
      </c>
      <c r="K96" s="47">
        <f t="shared" si="24"/>
        <v>174.3</v>
      </c>
      <c r="L96" s="44">
        <v>145.0</v>
      </c>
      <c r="M96" s="44">
        <v>145.0</v>
      </c>
      <c r="N96" s="44">
        <v>145.0</v>
      </c>
      <c r="O96" s="44">
        <v>145.0</v>
      </c>
      <c r="P96" s="44">
        <v>145.0</v>
      </c>
      <c r="Q96" s="44">
        <v>145.0</v>
      </c>
      <c r="R96" s="11"/>
    </row>
    <row r="97" ht="14.25" customHeight="1">
      <c r="B97" s="10" t="s">
        <v>152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>
        <v>20.0</v>
      </c>
      <c r="P97" s="44">
        <v>20.0</v>
      </c>
      <c r="Q97" s="44">
        <v>20.0</v>
      </c>
      <c r="R97" s="11"/>
    </row>
    <row r="98" ht="14.25" customHeight="1">
      <c r="B98" s="10" t="s">
        <v>153</v>
      </c>
      <c r="C98" s="44"/>
      <c r="D98" s="44"/>
      <c r="E98" s="44"/>
      <c r="F98" s="44"/>
      <c r="G98" s="44"/>
      <c r="H98" s="44"/>
      <c r="I98" s="44"/>
      <c r="J98" s="44"/>
      <c r="K98" s="44"/>
      <c r="L98" s="44">
        <v>100.0</v>
      </c>
      <c r="M98" s="44">
        <v>100.0</v>
      </c>
      <c r="N98" s="44">
        <v>100.0</v>
      </c>
      <c r="O98" s="44"/>
      <c r="P98" s="44"/>
      <c r="Q98" s="44"/>
      <c r="R98" s="11"/>
    </row>
    <row r="99" ht="14.25" customHeight="1">
      <c r="B99" s="10" t="s">
        <v>154</v>
      </c>
      <c r="C99" s="44"/>
      <c r="D99" s="44"/>
      <c r="E99" s="44"/>
      <c r="F99" s="44"/>
      <c r="G99" s="44"/>
      <c r="H99" s="44"/>
      <c r="I99" s="44"/>
      <c r="J99" s="44"/>
      <c r="K99" s="44"/>
      <c r="L99" s="44">
        <v>1084.0</v>
      </c>
      <c r="M99" s="44">
        <v>1084.0</v>
      </c>
      <c r="N99" s="44">
        <v>1084.0</v>
      </c>
      <c r="O99" s="44">
        <v>1084.0</v>
      </c>
      <c r="P99" s="44">
        <v>1084.0</v>
      </c>
      <c r="Q99" s="44">
        <v>1084.0</v>
      </c>
      <c r="R99" s="11"/>
    </row>
    <row r="100" ht="14.25" customHeight="1">
      <c r="B100" s="10" t="s">
        <v>155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>
        <v>363.0</v>
      </c>
      <c r="M100" s="44">
        <v>363.0</v>
      </c>
      <c r="N100" s="44">
        <v>363.0</v>
      </c>
      <c r="O100" s="44">
        <v>363.0</v>
      </c>
      <c r="P100" s="44">
        <v>363.0</v>
      </c>
      <c r="Q100" s="44">
        <v>363.0</v>
      </c>
      <c r="R100" s="11"/>
    </row>
    <row r="101" ht="14.25" customHeight="1">
      <c r="B101" s="10" t="s">
        <v>156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>
        <v>36.0</v>
      </c>
      <c r="M101" s="44">
        <v>36.0</v>
      </c>
      <c r="N101" s="44">
        <v>36.0</v>
      </c>
      <c r="O101" s="44">
        <v>36.0</v>
      </c>
      <c r="P101" s="44">
        <v>36.0</v>
      </c>
      <c r="Q101" s="44">
        <v>36.0</v>
      </c>
      <c r="R101" s="11"/>
    </row>
    <row r="102" ht="14.25" customHeight="1">
      <c r="B102" s="10" t="s">
        <v>157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>
        <v>7.0</v>
      </c>
      <c r="P102" s="44">
        <v>7.0</v>
      </c>
      <c r="Q102" s="44">
        <v>7.0</v>
      </c>
      <c r="R102" s="11"/>
    </row>
    <row r="103" ht="14.25" customHeight="1">
      <c r="A103" s="10" t="s">
        <v>45</v>
      </c>
      <c r="B103" s="14" t="s">
        <v>158</v>
      </c>
      <c r="C103" s="15" t="str">
        <f t="shared" ref="C103:Q103" si="25">C4</f>
        <v>Shop_4L</v>
      </c>
      <c r="D103" s="15" t="str">
        <f t="shared" si="25"/>
        <v>Shop_8L</v>
      </c>
      <c r="E103" s="15" t="str">
        <f t="shared" si="25"/>
        <v>Shop_12L</v>
      </c>
      <c r="F103" s="15" t="str">
        <f t="shared" si="25"/>
        <v>ShopPlus_4L</v>
      </c>
      <c r="G103" s="15" t="str">
        <f t="shared" si="25"/>
        <v>ShopPlus_8L</v>
      </c>
      <c r="H103" s="15" t="str">
        <f t="shared" si="25"/>
        <v>ShopPlus_12L</v>
      </c>
      <c r="I103" s="15" t="str">
        <f t="shared" si="25"/>
        <v>ShopPro_4L</v>
      </c>
      <c r="J103" s="15" t="str">
        <f t="shared" si="25"/>
        <v>ShopPro_8L</v>
      </c>
      <c r="K103" s="15" t="str">
        <f t="shared" si="25"/>
        <v>ShopPro_12L</v>
      </c>
      <c r="L103" s="15" t="str">
        <f t="shared" si="25"/>
        <v>P_1</v>
      </c>
      <c r="M103" s="15" t="str">
        <f t="shared" si="25"/>
        <v>P_50_Base</v>
      </c>
      <c r="N103" s="15" t="str">
        <f t="shared" si="25"/>
        <v>P_50_Auto</v>
      </c>
      <c r="O103" s="15" t="str">
        <f t="shared" si="25"/>
        <v>InnoventX</v>
      </c>
      <c r="P103" s="15" t="str">
        <f t="shared" si="25"/>
        <v>X25Pro</v>
      </c>
      <c r="Q103" s="15" t="str">
        <f t="shared" si="25"/>
        <v>X160Pro</v>
      </c>
      <c r="R103" s="11"/>
    </row>
    <row r="104" ht="14.25" customHeight="1">
      <c r="B104" s="45">
        <v>420.0</v>
      </c>
      <c r="C104" s="50"/>
      <c r="D104" s="50"/>
      <c r="E104" s="50"/>
      <c r="F104" s="50"/>
      <c r="G104" s="50"/>
      <c r="H104" s="50"/>
      <c r="I104" s="50">
        <f t="shared" ref="I104:N104" si="26">$B104</f>
        <v>420</v>
      </c>
      <c r="J104" s="50">
        <f t="shared" si="26"/>
        <v>420</v>
      </c>
      <c r="K104" s="50">
        <f t="shared" si="26"/>
        <v>420</v>
      </c>
      <c r="L104" s="50">
        <f t="shared" si="26"/>
        <v>420</v>
      </c>
      <c r="M104" s="50">
        <f t="shared" si="26"/>
        <v>420</v>
      </c>
      <c r="N104" s="50">
        <f t="shared" si="26"/>
        <v>420</v>
      </c>
      <c r="O104" s="50"/>
      <c r="P104" s="50"/>
      <c r="Q104" s="50"/>
      <c r="R104" s="11"/>
    </row>
    <row r="105" ht="14.25" customHeight="1">
      <c r="B105" s="9">
        <v>4140.0</v>
      </c>
      <c r="C105" s="50"/>
      <c r="D105" s="50"/>
      <c r="E105" s="50"/>
      <c r="F105" s="50"/>
      <c r="G105" s="50"/>
      <c r="H105" s="50"/>
      <c r="I105" s="50"/>
      <c r="J105" s="50"/>
      <c r="K105" s="50"/>
      <c r="L105" s="50">
        <f t="shared" ref="L105:N105" si="27">$B105</f>
        <v>4140</v>
      </c>
      <c r="M105" s="50">
        <f t="shared" si="27"/>
        <v>4140</v>
      </c>
      <c r="N105" s="50">
        <f t="shared" si="27"/>
        <v>4140</v>
      </c>
      <c r="O105" s="50" t="str">
        <f>IF(Universal!$C$14="FluidFuse",$B105,"")</f>
        <v/>
      </c>
      <c r="P105" s="50" t="str">
        <f>IF(Universal!$C$14="FluidFuse",$B105,"")</f>
        <v/>
      </c>
      <c r="Q105" s="50" t="str">
        <f>IF(Universal!$C$14="FluidFuse",$B105,"")</f>
        <v/>
      </c>
      <c r="R105" s="11"/>
    </row>
    <row r="106" ht="14.25" customHeight="1">
      <c r="B106" s="10" t="s">
        <v>137</v>
      </c>
      <c r="C106" s="50" t="str">
        <f t="shared" ref="C106:N106" si="28">$B106</f>
        <v>17-4PH</v>
      </c>
      <c r="D106" s="50" t="str">
        <f t="shared" si="28"/>
        <v>17-4PH</v>
      </c>
      <c r="E106" s="50" t="str">
        <f t="shared" si="28"/>
        <v>17-4PH</v>
      </c>
      <c r="F106" s="50" t="str">
        <f t="shared" si="28"/>
        <v>17-4PH</v>
      </c>
      <c r="G106" s="50" t="str">
        <f t="shared" si="28"/>
        <v>17-4PH</v>
      </c>
      <c r="H106" s="50" t="str">
        <f t="shared" si="28"/>
        <v>17-4PH</v>
      </c>
      <c r="I106" s="50" t="str">
        <f t="shared" si="28"/>
        <v>17-4PH</v>
      </c>
      <c r="J106" s="50" t="str">
        <f t="shared" si="28"/>
        <v>17-4PH</v>
      </c>
      <c r="K106" s="50" t="str">
        <f t="shared" si="28"/>
        <v>17-4PH</v>
      </c>
      <c r="L106" s="50" t="str">
        <f t="shared" si="28"/>
        <v>17-4PH</v>
      </c>
      <c r="M106" s="50" t="str">
        <f t="shared" si="28"/>
        <v>17-4PH</v>
      </c>
      <c r="N106" s="50" t="str">
        <f t="shared" si="28"/>
        <v>17-4PH</v>
      </c>
      <c r="O106" s="50" t="str">
        <f>IF(Universal!$C$14="TurboFuse","",IF(Universal!$C$14="PhenolFuse","",$B106))</f>
        <v>17-4PH</v>
      </c>
      <c r="P106" s="50" t="str">
        <f>IF(Universal!$C$14="TurboFuse","",IF(Universal!$C$14="PhenolFuse","",$B106))</f>
        <v>17-4PH</v>
      </c>
      <c r="Q106" s="50" t="str">
        <f>IF(Universal!$C$14="TurboFuse","",IF(Universal!$C$14="PhenolFuse","",$B106))</f>
        <v>17-4PH</v>
      </c>
      <c r="R106" s="11"/>
    </row>
    <row r="107" ht="14.25" customHeight="1">
      <c r="B107" s="9" t="s">
        <v>138</v>
      </c>
      <c r="C107" s="50"/>
      <c r="D107" s="50"/>
      <c r="E107" s="50"/>
      <c r="F107" s="50"/>
      <c r="G107" s="50"/>
      <c r="H107" s="50"/>
      <c r="I107" s="50"/>
      <c r="J107" s="50"/>
      <c r="K107" s="50"/>
      <c r="L107" s="50" t="str">
        <f t="shared" ref="L107:N107" si="29">$B107</f>
        <v>DM HH Stainless</v>
      </c>
      <c r="M107" s="50" t="str">
        <f t="shared" si="29"/>
        <v>DM HH Stainless</v>
      </c>
      <c r="N107" s="50" t="str">
        <f t="shared" si="29"/>
        <v>DM HH Stainless</v>
      </c>
      <c r="O107" s="50"/>
      <c r="P107" s="50"/>
      <c r="Q107" s="50"/>
      <c r="R107" s="11"/>
    </row>
    <row r="108" ht="14.25" customHeight="1">
      <c r="B108" s="10" t="s">
        <v>139</v>
      </c>
      <c r="C108" s="50" t="str">
        <f t="shared" ref="C108:K108" si="30">$B108</f>
        <v>304L</v>
      </c>
      <c r="D108" s="50" t="str">
        <f t="shared" si="30"/>
        <v>304L</v>
      </c>
      <c r="E108" s="50" t="str">
        <f t="shared" si="30"/>
        <v>304L</v>
      </c>
      <c r="F108" s="50" t="str">
        <f t="shared" si="30"/>
        <v>304L</v>
      </c>
      <c r="G108" s="50" t="str">
        <f t="shared" si="30"/>
        <v>304L</v>
      </c>
      <c r="H108" s="50" t="str">
        <f t="shared" si="30"/>
        <v>304L</v>
      </c>
      <c r="I108" s="50" t="str">
        <f t="shared" si="30"/>
        <v>304L</v>
      </c>
      <c r="J108" s="50" t="str">
        <f t="shared" si="30"/>
        <v>304L</v>
      </c>
      <c r="K108" s="50" t="str">
        <f t="shared" si="30"/>
        <v>304L</v>
      </c>
      <c r="L108" s="50"/>
      <c r="M108" s="50"/>
      <c r="N108" s="50"/>
      <c r="O108" s="50" t="str">
        <f>IF(Universal!$C$14="CleanFuse",$B108,"")</f>
        <v/>
      </c>
      <c r="P108" s="50" t="str">
        <f>IF(Universal!$C$14="CleanFuse",$B108,"")</f>
        <v/>
      </c>
      <c r="Q108" s="50" t="str">
        <f>IF(Universal!$C$14="CleanFuse",$B108,"")</f>
        <v/>
      </c>
      <c r="R108" s="11"/>
    </row>
    <row r="109" ht="14.25" customHeight="1">
      <c r="B109" s="10" t="s">
        <v>140</v>
      </c>
      <c r="C109" s="50" t="str">
        <f t="shared" ref="C109:N109" si="31">$B109</f>
        <v>316L</v>
      </c>
      <c r="D109" s="50" t="str">
        <f t="shared" si="31"/>
        <v>316L</v>
      </c>
      <c r="E109" s="50" t="str">
        <f t="shared" si="31"/>
        <v>316L</v>
      </c>
      <c r="F109" s="50" t="str">
        <f t="shared" si="31"/>
        <v>316L</v>
      </c>
      <c r="G109" s="50" t="str">
        <f t="shared" si="31"/>
        <v>316L</v>
      </c>
      <c r="H109" s="50" t="str">
        <f t="shared" si="31"/>
        <v>316L</v>
      </c>
      <c r="I109" s="50" t="str">
        <f t="shared" si="31"/>
        <v>316L</v>
      </c>
      <c r="J109" s="50" t="str">
        <f t="shared" si="31"/>
        <v>316L</v>
      </c>
      <c r="K109" s="50" t="str">
        <f t="shared" si="31"/>
        <v>316L</v>
      </c>
      <c r="L109" s="50" t="str">
        <f t="shared" si="31"/>
        <v>316L</v>
      </c>
      <c r="M109" s="50" t="str">
        <f t="shared" si="31"/>
        <v>316L</v>
      </c>
      <c r="N109" s="50" t="str">
        <f t="shared" si="31"/>
        <v>316L</v>
      </c>
      <c r="O109" s="50" t="str">
        <f>IF(Universal!$C$14="TurboFuse",$B109,IF(Universal!$C$14="CleanFuse",$B109,""))</f>
        <v/>
      </c>
      <c r="P109" s="50" t="str">
        <f>IF(Universal!$C$14="TurboFuse",$B109,IF(Universal!$C$14="CleanFuse",$B109,""))</f>
        <v/>
      </c>
      <c r="Q109" s="50" t="str">
        <f>IF(Universal!$C$14="TurboFuse",$B109,IF(Universal!$C$14="CleanFuse",$B109,""))</f>
        <v/>
      </c>
      <c r="R109" s="11"/>
    </row>
    <row r="110" ht="14.25" customHeight="1">
      <c r="B110" s="10" t="s">
        <v>141</v>
      </c>
      <c r="C110" s="50"/>
      <c r="D110" s="50"/>
      <c r="E110" s="50"/>
      <c r="F110" s="50"/>
      <c r="G110" s="50"/>
      <c r="H110" s="50"/>
      <c r="I110" s="50"/>
      <c r="J110" s="50"/>
      <c r="K110" s="50"/>
      <c r="L110" s="50" t="str">
        <f t="shared" ref="L110:N110" si="32">$B110</f>
        <v>440C</v>
      </c>
      <c r="M110" s="50" t="str">
        <f t="shared" si="32"/>
        <v>440C</v>
      </c>
      <c r="N110" s="50" t="str">
        <f t="shared" si="32"/>
        <v>440C</v>
      </c>
      <c r="O110" s="50"/>
      <c r="P110" s="50"/>
      <c r="Q110" s="50"/>
      <c r="R110" s="11"/>
    </row>
    <row r="111" ht="14.25" customHeight="1">
      <c r="B111" s="10" t="s">
        <v>142</v>
      </c>
      <c r="C111" s="50"/>
      <c r="D111" s="50"/>
      <c r="E111" s="50"/>
      <c r="F111" s="50"/>
      <c r="G111" s="50"/>
      <c r="H111" s="50"/>
      <c r="I111" s="50"/>
      <c r="J111" s="50"/>
      <c r="K111" s="50"/>
      <c r="L111" s="50" t="str">
        <f t="shared" ref="L111:N111" si="33">$B111</f>
        <v>CrMnMoN</v>
      </c>
      <c r="M111" s="50" t="str">
        <f t="shared" si="33"/>
        <v>CrMnMoN</v>
      </c>
      <c r="N111" s="50" t="str">
        <f t="shared" si="33"/>
        <v>CrMnMoN</v>
      </c>
      <c r="O111" s="50"/>
      <c r="P111" s="50"/>
      <c r="Q111" s="50"/>
      <c r="R111" s="11"/>
    </row>
    <row r="112" ht="14.25" customHeight="1">
      <c r="B112" s="10" t="s">
        <v>143</v>
      </c>
      <c r="C112" s="50"/>
      <c r="D112" s="50"/>
      <c r="E112" s="50"/>
      <c r="F112" s="50"/>
      <c r="G112" s="50"/>
      <c r="H112" s="50"/>
      <c r="I112" s="50"/>
      <c r="J112" s="50"/>
      <c r="K112" s="50"/>
      <c r="L112" s="50" t="str">
        <f t="shared" ref="L112:N112" si="34">$B112</f>
        <v>Al 6061</v>
      </c>
      <c r="M112" s="50" t="str">
        <f t="shared" si="34"/>
        <v>Al 6061</v>
      </c>
      <c r="N112" s="50" t="str">
        <f t="shared" si="34"/>
        <v>Al 6061</v>
      </c>
      <c r="O112" s="50" t="str">
        <f>IF(Universal!$C$14="FluidFuse",$B112,"")</f>
        <v/>
      </c>
      <c r="P112" s="50" t="str">
        <f>IF(Universal!$C$14="FluidFuse",$B112,"")</f>
        <v/>
      </c>
      <c r="Q112" s="50" t="str">
        <f>IF(Universal!$C$14="FluidFuse",$B112,"")</f>
        <v/>
      </c>
      <c r="R112" s="11"/>
    </row>
    <row r="113" ht="14.25" customHeight="1">
      <c r="B113" s="10" t="s">
        <v>144</v>
      </c>
      <c r="C113" s="50" t="str">
        <f t="shared" ref="C113:K113" si="35">$B113</f>
        <v>CoCrMo</v>
      </c>
      <c r="D113" s="50" t="str">
        <f t="shared" si="35"/>
        <v>CoCrMo</v>
      </c>
      <c r="E113" s="50" t="str">
        <f t="shared" si="35"/>
        <v>CoCrMo</v>
      </c>
      <c r="F113" s="50" t="str">
        <f t="shared" si="35"/>
        <v>CoCrMo</v>
      </c>
      <c r="G113" s="50" t="str">
        <f t="shared" si="35"/>
        <v>CoCrMo</v>
      </c>
      <c r="H113" s="50" t="str">
        <f t="shared" si="35"/>
        <v>CoCrMo</v>
      </c>
      <c r="I113" s="50" t="str">
        <f t="shared" si="35"/>
        <v>CoCrMo</v>
      </c>
      <c r="J113" s="50" t="str">
        <f t="shared" si="35"/>
        <v>CoCrMo</v>
      </c>
      <c r="K113" s="50" t="str">
        <f t="shared" si="35"/>
        <v>CoCrMo</v>
      </c>
      <c r="L113" s="50"/>
      <c r="M113" s="50"/>
      <c r="N113" s="50"/>
      <c r="O113" s="50" t="str">
        <f>IF(Universal!$C$14="AquaFuse",$B113,IF(Universal!$C$14="FluidFuse",$B113,""))</f>
        <v/>
      </c>
      <c r="P113" s="50" t="str">
        <f>IF(Universal!$C$14="AquaFuse",$B113,IF(Universal!$C$14="FluidFuse",$B113,""))</f>
        <v/>
      </c>
      <c r="Q113" s="50" t="str">
        <f>IF(Universal!$C$14="AquaFuse",$B113,IF(Universal!$C$14="FluidFuse",$B113,""))</f>
        <v/>
      </c>
      <c r="R113" s="11"/>
    </row>
    <row r="114" ht="14.25" customHeight="1">
      <c r="B114" s="10" t="s">
        <v>146</v>
      </c>
      <c r="C114" s="50"/>
      <c r="D114" s="50"/>
      <c r="E114" s="50"/>
      <c r="F114" s="50"/>
      <c r="G114" s="50"/>
      <c r="H114" s="50"/>
      <c r="I114" s="50"/>
      <c r="J114" s="50"/>
      <c r="K114" s="50"/>
      <c r="L114" s="50" t="str">
        <f t="shared" ref="L114:N114" si="36">$B114</f>
        <v>Cu</v>
      </c>
      <c r="M114" s="50" t="str">
        <f t="shared" si="36"/>
        <v>Cu</v>
      </c>
      <c r="N114" s="50" t="str">
        <f t="shared" si="36"/>
        <v>Cu</v>
      </c>
      <c r="O114" s="50" t="str">
        <f>IF(Universal!$C$14="FluidFuse",$B114,"")</f>
        <v/>
      </c>
      <c r="P114" s="50" t="str">
        <f>IF(Universal!$C$14="FluidFuse",$B114,"")</f>
        <v/>
      </c>
      <c r="Q114" s="50" t="str">
        <f>IF(Universal!$C$14="FluidFuse",$B114,"")</f>
        <v/>
      </c>
      <c r="R114" s="11"/>
    </row>
    <row r="115" ht="14.25" customHeight="1">
      <c r="B115" s="9" t="s">
        <v>147</v>
      </c>
      <c r="C115" s="50"/>
      <c r="D115" s="50"/>
      <c r="E115" s="50"/>
      <c r="F115" s="50"/>
      <c r="G115" s="50"/>
      <c r="H115" s="50"/>
      <c r="I115" s="50"/>
      <c r="J115" s="50"/>
      <c r="K115" s="50"/>
      <c r="L115" s="50" t="str">
        <f t="shared" ref="L115:N115" si="37">$B115</f>
        <v>D2</v>
      </c>
      <c r="M115" s="50" t="str">
        <f t="shared" si="37"/>
        <v>D2</v>
      </c>
      <c r="N115" s="50" t="str">
        <f t="shared" si="37"/>
        <v>D2</v>
      </c>
      <c r="O115" s="50"/>
      <c r="P115" s="50"/>
      <c r="Q115" s="50"/>
      <c r="R115" s="11"/>
    </row>
    <row r="116" ht="14.25" customHeight="1">
      <c r="B116" s="10" t="s">
        <v>148</v>
      </c>
      <c r="C116" s="50"/>
      <c r="D116" s="50"/>
      <c r="E116" s="50"/>
      <c r="F116" s="50"/>
      <c r="G116" s="50"/>
      <c r="H116" s="50"/>
      <c r="I116" s="50"/>
      <c r="J116" s="50"/>
      <c r="K116" s="50"/>
      <c r="L116" s="50" t="str">
        <f t="shared" ref="L116:N116" si="38">$B116</f>
        <v>Gold</v>
      </c>
      <c r="M116" s="50" t="str">
        <f t="shared" si="38"/>
        <v>Gold</v>
      </c>
      <c r="N116" s="50" t="str">
        <f t="shared" si="38"/>
        <v>Gold</v>
      </c>
      <c r="O116" s="50" t="str">
        <f>IF(Universal!$C$14="FluidFuse",$B116,"")</f>
        <v/>
      </c>
      <c r="P116" s="50" t="str">
        <f>IF(Universal!$C$14="FluidFuse",$B116,"")</f>
        <v/>
      </c>
      <c r="Q116" s="50" t="str">
        <f>IF(Universal!$C$14="FluidFuse",$B116,"")</f>
        <v/>
      </c>
      <c r="R116" s="11"/>
    </row>
    <row r="117" ht="14.25" customHeight="1">
      <c r="B117" s="10" t="s">
        <v>149</v>
      </c>
      <c r="C117" s="50"/>
      <c r="D117" s="50"/>
      <c r="E117" s="50"/>
      <c r="F117" s="50"/>
      <c r="G117" s="50"/>
      <c r="H117" s="50"/>
      <c r="I117" s="50"/>
      <c r="J117" s="50"/>
      <c r="K117" s="50"/>
      <c r="L117" s="50" t="str">
        <f t="shared" ref="L117:N117" si="39">$B117</f>
        <v>H13</v>
      </c>
      <c r="M117" s="50" t="str">
        <f t="shared" si="39"/>
        <v>H13</v>
      </c>
      <c r="N117" s="50" t="str">
        <f t="shared" si="39"/>
        <v>H13</v>
      </c>
      <c r="O117" s="50" t="str">
        <f>IF(Universal!$C$14="TurboFuse","",IF(Universal!$C$14="PhenolFuse","",$B117))</f>
        <v>H13</v>
      </c>
      <c r="P117" s="50" t="str">
        <f>IF(Universal!$C$14="TurboFuse","",IF(Universal!$C$14="PhenolFuse","",$B117))</f>
        <v>H13</v>
      </c>
      <c r="Q117" s="50" t="str">
        <f>IF(Universal!$C$14="TurboFuse","",IF(Universal!$C$14="PhenolFuse","",$B117))</f>
        <v>H13</v>
      </c>
      <c r="R117" s="11"/>
    </row>
    <row r="118" ht="14.25" customHeight="1">
      <c r="B118" s="9" t="s">
        <v>150</v>
      </c>
      <c r="C118" s="50" t="str">
        <f t="shared" ref="C118:N118" si="40">$B118</f>
        <v>IN625</v>
      </c>
      <c r="D118" s="50" t="str">
        <f t="shared" si="40"/>
        <v>IN625</v>
      </c>
      <c r="E118" s="50" t="str">
        <f t="shared" si="40"/>
        <v>IN625</v>
      </c>
      <c r="F118" s="50" t="str">
        <f t="shared" si="40"/>
        <v>IN625</v>
      </c>
      <c r="G118" s="50" t="str">
        <f t="shared" si="40"/>
        <v>IN625</v>
      </c>
      <c r="H118" s="50" t="str">
        <f t="shared" si="40"/>
        <v>IN625</v>
      </c>
      <c r="I118" s="50" t="str">
        <f t="shared" si="40"/>
        <v>IN625</v>
      </c>
      <c r="J118" s="50" t="str">
        <f t="shared" si="40"/>
        <v>IN625</v>
      </c>
      <c r="K118" s="50" t="str">
        <f t="shared" si="40"/>
        <v>IN625</v>
      </c>
      <c r="L118" s="50" t="str">
        <f t="shared" si="40"/>
        <v>IN625</v>
      </c>
      <c r="M118" s="50" t="str">
        <f t="shared" si="40"/>
        <v>IN625</v>
      </c>
      <c r="N118" s="50" t="str">
        <f t="shared" si="40"/>
        <v>IN625</v>
      </c>
      <c r="O118" s="50" t="str">
        <f>IF(Universal!$C$14="CleanFuse",$B118,"")</f>
        <v/>
      </c>
      <c r="P118" s="50" t="str">
        <f>IF(Universal!$C$14="CleanFuse",$B118,"")</f>
        <v/>
      </c>
      <c r="Q118" s="50" t="str">
        <f>IF(Universal!$C$14="CleanFuse",$B118,"")</f>
        <v/>
      </c>
      <c r="R118" s="11"/>
    </row>
    <row r="119" ht="14.25" customHeight="1">
      <c r="B119" s="10" t="s">
        <v>151</v>
      </c>
      <c r="C119" s="50" t="str">
        <f t="shared" ref="C119:K119" si="41">$B119</f>
        <v>IN718</v>
      </c>
      <c r="D119" s="50" t="str">
        <f t="shared" si="41"/>
        <v>IN718</v>
      </c>
      <c r="E119" s="50" t="str">
        <f t="shared" si="41"/>
        <v>IN718</v>
      </c>
      <c r="F119" s="50" t="str">
        <f t="shared" si="41"/>
        <v>IN718</v>
      </c>
      <c r="G119" s="50" t="str">
        <f t="shared" si="41"/>
        <v>IN718</v>
      </c>
      <c r="H119" s="50" t="str">
        <f t="shared" si="41"/>
        <v>IN718</v>
      </c>
      <c r="I119" s="50" t="str">
        <f t="shared" si="41"/>
        <v>IN718</v>
      </c>
      <c r="J119" s="50" t="str">
        <f t="shared" si="41"/>
        <v>IN718</v>
      </c>
      <c r="K119" s="50" t="str">
        <f t="shared" si="41"/>
        <v>IN718</v>
      </c>
      <c r="L119" s="50"/>
      <c r="M119" s="50"/>
      <c r="N119" s="50"/>
      <c r="O119" s="50" t="str">
        <f>IF(Universal!$C$14="CleanFuse",$B119,"")</f>
        <v/>
      </c>
      <c r="P119" s="50" t="str">
        <f>IF(Universal!$C$14="CleanFuse",$B119,"")</f>
        <v/>
      </c>
      <c r="Q119" s="50" t="str">
        <f>IF(Universal!$C$14="CleanFuse",$B119,"")</f>
        <v/>
      </c>
      <c r="R119" s="11"/>
    </row>
    <row r="120" ht="14.25" customHeight="1">
      <c r="B120" s="10" t="s">
        <v>152</v>
      </c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 t="str">
        <f>IF(Universal!$C$14="TurboFuse","",IF(Universal!$C$14="PhenolFuse","",$B120))</f>
        <v>M2</v>
      </c>
      <c r="P120" s="50" t="str">
        <f>IF(Universal!$C$14="TurboFuse","",IF(Universal!$C$14="PhenolFuse","",$B120))</f>
        <v>M2</v>
      </c>
      <c r="Q120" s="50" t="str">
        <f>IF(Universal!$C$14="TurboFuse","",IF(Universal!$C$14="PhenolFuse","",$B120))</f>
        <v>M2</v>
      </c>
      <c r="R120" s="11"/>
    </row>
    <row r="121" ht="14.25" customHeight="1">
      <c r="B121" s="10" t="s">
        <v>153</v>
      </c>
      <c r="C121" s="50"/>
      <c r="D121" s="50"/>
      <c r="E121" s="50"/>
      <c r="F121" s="50"/>
      <c r="G121" s="50"/>
      <c r="H121" s="50"/>
      <c r="I121" s="50"/>
      <c r="J121" s="50"/>
      <c r="K121" s="50"/>
      <c r="L121" s="50" t="s">
        <v>153</v>
      </c>
      <c r="M121" s="50" t="s">
        <v>153</v>
      </c>
      <c r="N121" s="50" t="s">
        <v>153</v>
      </c>
      <c r="O121" s="50"/>
      <c r="P121" s="50"/>
      <c r="Q121" s="50"/>
      <c r="R121" s="11"/>
    </row>
    <row r="122" ht="14.25" customHeight="1">
      <c r="B122" s="10" t="s">
        <v>154</v>
      </c>
      <c r="C122" s="50"/>
      <c r="D122" s="50"/>
      <c r="E122" s="50"/>
      <c r="F122" s="50"/>
      <c r="G122" s="50"/>
      <c r="H122" s="50"/>
      <c r="I122" s="50"/>
      <c r="J122" s="50"/>
      <c r="K122" s="50"/>
      <c r="L122" s="50" t="str">
        <f t="shared" ref="L122:N122" si="42">$B122</f>
        <v>Silver</v>
      </c>
      <c r="M122" s="50" t="str">
        <f t="shared" si="42"/>
        <v>Silver</v>
      </c>
      <c r="N122" s="50" t="str">
        <f t="shared" si="42"/>
        <v>Silver</v>
      </c>
      <c r="O122" s="50"/>
      <c r="P122" s="50"/>
      <c r="Q122" s="50"/>
      <c r="R122" s="11"/>
    </row>
    <row r="123" ht="14.25" customHeight="1">
      <c r="B123" s="10" t="s">
        <v>155</v>
      </c>
      <c r="C123" s="50"/>
      <c r="D123" s="50"/>
      <c r="E123" s="50"/>
      <c r="F123" s="50"/>
      <c r="G123" s="50"/>
      <c r="H123" s="50"/>
      <c r="I123" s="50"/>
      <c r="J123" s="50"/>
      <c r="K123" s="50"/>
      <c r="L123" s="50" t="str">
        <f t="shared" ref="L123:N123" si="43">$B123</f>
        <v>Ti-64</v>
      </c>
      <c r="M123" s="50" t="str">
        <f t="shared" si="43"/>
        <v>Ti-64</v>
      </c>
      <c r="N123" s="50" t="str">
        <f t="shared" si="43"/>
        <v>Ti-64</v>
      </c>
      <c r="O123" s="50" t="str">
        <f>IF(Universal!$C$14="FluidFuse",$B123,"")</f>
        <v/>
      </c>
      <c r="P123" s="50" t="str">
        <f>IF(Universal!$C$14="FluidFuse",$B123,"")</f>
        <v/>
      </c>
      <c r="Q123" s="50" t="str">
        <f>IF(Universal!$C$14="FluidFuse",$B123,"")</f>
        <v/>
      </c>
      <c r="R123" s="11"/>
    </row>
    <row r="124" ht="14.25" customHeight="1">
      <c r="B124" s="10" t="s">
        <v>156</v>
      </c>
      <c r="C124" s="50"/>
      <c r="D124" s="50"/>
      <c r="E124" s="50"/>
      <c r="F124" s="50"/>
      <c r="G124" s="50"/>
      <c r="H124" s="50"/>
      <c r="I124" s="50"/>
      <c r="J124" s="50"/>
      <c r="K124" s="50"/>
      <c r="L124" s="50" t="str">
        <f t="shared" ref="L124:N124" si="44">$B124</f>
        <v>WC-12Co</v>
      </c>
      <c r="M124" s="50" t="str">
        <f t="shared" si="44"/>
        <v>WC-12Co</v>
      </c>
      <c r="N124" s="50" t="str">
        <f t="shared" si="44"/>
        <v>WC-12Co</v>
      </c>
      <c r="O124" s="50" t="str">
        <f>IF(Universal!$C$14="AquaFuse",$B124,IF(Universal!$C$14="FluidFuse",$B124,""))</f>
        <v/>
      </c>
      <c r="P124" s="50" t="str">
        <f>IF(Universal!$C$14="AquaFuse",$B124,IF(Universal!$C$14="FluidFuse",$B124,""))</f>
        <v/>
      </c>
      <c r="Q124" s="50" t="str">
        <f>IF(Universal!$C$14="AquaFuse",$B124,IF(Universal!$C$14="FluidFuse",$B124,""))</f>
        <v/>
      </c>
      <c r="R124" s="11"/>
    </row>
    <row r="125" ht="14.25" customHeight="1">
      <c r="B125" s="10" t="s">
        <v>157</v>
      </c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 t="str">
        <f>IF(Universal!$C$14="AquaFuse",$B125,IF(Universal!$C$14="PhenolFuse",$B125,""))</f>
        <v/>
      </c>
      <c r="P125" s="50" t="str">
        <f>IF(Universal!$C$14="AquaFuse",$B125,IF(Universal!$C$14="PhenolFuse",$B125,""))</f>
        <v/>
      </c>
      <c r="Q125" s="50" t="str">
        <f>IF(Universal!$C$14="AquaFuse",$B125,IF(Universal!$C$14="PhenolFuse",$B125,""))</f>
        <v/>
      </c>
      <c r="R125" s="11"/>
    </row>
    <row r="126" ht="14.25" customHeight="1">
      <c r="A126" s="10" t="s">
        <v>45</v>
      </c>
      <c r="B126" s="14" t="s">
        <v>159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1"/>
    </row>
    <row r="127" ht="14.25" customHeight="1">
      <c r="B127" s="45">
        <v>420.0</v>
      </c>
      <c r="C127" s="49"/>
      <c r="D127" s="49"/>
      <c r="E127" s="49"/>
      <c r="F127" s="49"/>
      <c r="G127" s="49"/>
      <c r="H127" s="49"/>
      <c r="I127" s="49"/>
      <c r="J127" s="49"/>
      <c r="K127" s="49"/>
      <c r="L127" s="49" t="s">
        <v>160</v>
      </c>
      <c r="M127" s="49" t="s">
        <v>160</v>
      </c>
      <c r="N127" s="49" t="s">
        <v>160</v>
      </c>
      <c r="O127" s="49"/>
      <c r="P127" s="49"/>
      <c r="Q127" s="49"/>
      <c r="R127" s="11"/>
    </row>
    <row r="128" ht="14.25" customHeight="1">
      <c r="B128" s="9">
        <v>4140.0</v>
      </c>
      <c r="C128" s="49"/>
      <c r="D128" s="49"/>
      <c r="E128" s="49"/>
      <c r="F128" s="49"/>
      <c r="G128" s="49"/>
      <c r="H128" s="49"/>
      <c r="I128" s="49"/>
      <c r="J128" s="49"/>
      <c r="K128" s="49"/>
      <c r="L128" s="49" t="s">
        <v>160</v>
      </c>
      <c r="M128" s="49" t="s">
        <v>160</v>
      </c>
      <c r="N128" s="49" t="s">
        <v>160</v>
      </c>
      <c r="O128" s="49" t="s">
        <v>160</v>
      </c>
      <c r="P128" s="49" t="s">
        <v>160</v>
      </c>
      <c r="Q128" s="49" t="s">
        <v>160</v>
      </c>
      <c r="R128" s="11"/>
    </row>
    <row r="129" ht="14.25" customHeight="1">
      <c r="B129" s="10" t="s">
        <v>137</v>
      </c>
      <c r="C129" s="49"/>
      <c r="D129" s="49"/>
      <c r="E129" s="49"/>
      <c r="F129" s="49"/>
      <c r="G129" s="49"/>
      <c r="H129" s="49"/>
      <c r="I129" s="49"/>
      <c r="J129" s="49"/>
      <c r="K129" s="49"/>
      <c r="L129" s="49" t="s">
        <v>160</v>
      </c>
      <c r="M129" s="49" t="s">
        <v>160</v>
      </c>
      <c r="N129" s="49" t="s">
        <v>160</v>
      </c>
      <c r="O129" s="49" t="s">
        <v>160</v>
      </c>
      <c r="P129" s="49" t="s">
        <v>160</v>
      </c>
      <c r="Q129" s="49" t="s">
        <v>160</v>
      </c>
      <c r="R129" s="11"/>
    </row>
    <row r="130" ht="14.25" customHeight="1">
      <c r="B130" s="9" t="s">
        <v>138</v>
      </c>
      <c r="C130" s="49"/>
      <c r="D130" s="49"/>
      <c r="E130" s="49"/>
      <c r="F130" s="49"/>
      <c r="G130" s="49"/>
      <c r="H130" s="49"/>
      <c r="I130" s="49"/>
      <c r="J130" s="49"/>
      <c r="K130" s="49"/>
      <c r="L130" s="49" t="s">
        <v>160</v>
      </c>
      <c r="M130" s="49" t="s">
        <v>160</v>
      </c>
      <c r="N130" s="49" t="s">
        <v>160</v>
      </c>
      <c r="O130" s="49"/>
      <c r="P130" s="49"/>
      <c r="Q130" s="49"/>
      <c r="R130" s="11"/>
    </row>
    <row r="131" ht="14.25" customHeight="1">
      <c r="B131" s="10" t="s">
        <v>139</v>
      </c>
      <c r="C131" s="49"/>
      <c r="D131" s="49"/>
      <c r="E131" s="49"/>
      <c r="F131" s="49"/>
      <c r="G131" s="49"/>
      <c r="H131" s="49"/>
      <c r="I131" s="49"/>
      <c r="J131" s="49"/>
      <c r="K131" s="49"/>
      <c r="L131" s="49" t="s">
        <v>160</v>
      </c>
      <c r="M131" s="49" t="s">
        <v>160</v>
      </c>
      <c r="N131" s="49" t="s">
        <v>160</v>
      </c>
      <c r="O131" s="49" t="s">
        <v>160</v>
      </c>
      <c r="P131" s="49" t="s">
        <v>160</v>
      </c>
      <c r="Q131" s="49" t="s">
        <v>160</v>
      </c>
      <c r="R131" s="11"/>
    </row>
    <row r="132" ht="14.25" customHeight="1">
      <c r="B132" s="10" t="s">
        <v>140</v>
      </c>
      <c r="C132" s="49"/>
      <c r="D132" s="49"/>
      <c r="E132" s="49"/>
      <c r="F132" s="49"/>
      <c r="G132" s="49"/>
      <c r="H132" s="49"/>
      <c r="I132" s="49"/>
      <c r="J132" s="49"/>
      <c r="K132" s="49"/>
      <c r="L132" s="49" t="s">
        <v>160</v>
      </c>
      <c r="M132" s="49" t="s">
        <v>160</v>
      </c>
      <c r="N132" s="49" t="s">
        <v>160</v>
      </c>
      <c r="O132" s="49" t="s">
        <v>160</v>
      </c>
      <c r="P132" s="49" t="s">
        <v>160</v>
      </c>
      <c r="Q132" s="49" t="s">
        <v>160</v>
      </c>
      <c r="R132" s="11"/>
    </row>
    <row r="133" ht="14.25" customHeight="1">
      <c r="B133" s="10" t="s">
        <v>141</v>
      </c>
      <c r="C133" s="49"/>
      <c r="D133" s="49"/>
      <c r="E133" s="49"/>
      <c r="F133" s="49"/>
      <c r="G133" s="49"/>
      <c r="H133" s="49"/>
      <c r="I133" s="49"/>
      <c r="J133" s="49"/>
      <c r="K133" s="49"/>
      <c r="L133" s="49" t="s">
        <v>160</v>
      </c>
      <c r="M133" s="49" t="s">
        <v>160</v>
      </c>
      <c r="N133" s="49" t="s">
        <v>160</v>
      </c>
      <c r="O133" s="49"/>
      <c r="P133" s="49"/>
      <c r="Q133" s="49"/>
      <c r="R133" s="11"/>
    </row>
    <row r="134" ht="14.25" customHeight="1">
      <c r="B134" s="10" t="s">
        <v>142</v>
      </c>
      <c r="C134" s="44"/>
      <c r="D134" s="44"/>
      <c r="E134" s="44"/>
      <c r="F134" s="44"/>
      <c r="G134" s="44"/>
      <c r="H134" s="44"/>
      <c r="I134" s="44"/>
      <c r="J134" s="44"/>
      <c r="K134" s="44"/>
      <c r="L134" s="49" t="s">
        <v>160</v>
      </c>
      <c r="M134" s="49" t="s">
        <v>160</v>
      </c>
      <c r="N134" s="49" t="s">
        <v>160</v>
      </c>
      <c r="O134" s="44"/>
      <c r="P134" s="44"/>
      <c r="Q134" s="44"/>
      <c r="R134" s="11"/>
    </row>
    <row r="135" ht="14.25" customHeight="1">
      <c r="B135" s="10" t="s">
        <v>143</v>
      </c>
      <c r="C135" s="49"/>
      <c r="D135" s="49"/>
      <c r="E135" s="49"/>
      <c r="F135" s="49"/>
      <c r="G135" s="49"/>
      <c r="H135" s="49"/>
      <c r="I135" s="49"/>
      <c r="J135" s="49"/>
      <c r="K135" s="49"/>
      <c r="L135" s="49" t="s">
        <v>160</v>
      </c>
      <c r="M135" s="49" t="s">
        <v>160</v>
      </c>
      <c r="N135" s="49" t="s">
        <v>160</v>
      </c>
      <c r="O135" s="49" t="s">
        <v>160</v>
      </c>
      <c r="P135" s="49"/>
      <c r="Q135" s="49"/>
      <c r="R135" s="11"/>
    </row>
    <row r="136" ht="14.25" customHeight="1">
      <c r="B136" s="10" t="s">
        <v>144</v>
      </c>
      <c r="C136" s="49"/>
      <c r="D136" s="49"/>
      <c r="E136" s="49"/>
      <c r="F136" s="49"/>
      <c r="G136" s="49"/>
      <c r="H136" s="49"/>
      <c r="I136" s="49"/>
      <c r="J136" s="49"/>
      <c r="K136" s="49"/>
      <c r="L136" s="49" t="s">
        <v>160</v>
      </c>
      <c r="M136" s="49" t="s">
        <v>160</v>
      </c>
      <c r="N136" s="49" t="s">
        <v>160</v>
      </c>
      <c r="O136" s="49"/>
      <c r="P136" s="49"/>
      <c r="Q136" s="49"/>
      <c r="R136" s="11"/>
    </row>
    <row r="137" ht="14.25" customHeight="1">
      <c r="B137" s="10" t="s">
        <v>146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 t="s">
        <v>161</v>
      </c>
      <c r="M137" s="49" t="s">
        <v>161</v>
      </c>
      <c r="N137" s="49" t="s">
        <v>161</v>
      </c>
      <c r="O137" s="49" t="s">
        <v>160</v>
      </c>
      <c r="P137" s="49" t="s">
        <v>160</v>
      </c>
      <c r="Q137" s="49" t="s">
        <v>160</v>
      </c>
      <c r="R137" s="11"/>
    </row>
    <row r="138" ht="14.25" customHeight="1">
      <c r="B138" s="9" t="s">
        <v>147</v>
      </c>
      <c r="C138" s="49"/>
      <c r="D138" s="49"/>
      <c r="E138" s="49"/>
      <c r="F138" s="49"/>
      <c r="G138" s="49"/>
      <c r="H138" s="49"/>
      <c r="I138" s="49"/>
      <c r="J138" s="49"/>
      <c r="K138" s="49"/>
      <c r="L138" s="49" t="s">
        <v>160</v>
      </c>
      <c r="M138" s="49" t="s">
        <v>160</v>
      </c>
      <c r="N138" s="49" t="s">
        <v>160</v>
      </c>
      <c r="O138" s="49"/>
      <c r="P138" s="49"/>
      <c r="Q138" s="49"/>
      <c r="R138" s="11"/>
    </row>
    <row r="139" ht="14.25" customHeight="1">
      <c r="B139" s="10" t="s">
        <v>148</v>
      </c>
      <c r="C139" s="49"/>
      <c r="D139" s="49"/>
      <c r="E139" s="49"/>
      <c r="F139" s="49"/>
      <c r="G139" s="49"/>
      <c r="H139" s="49"/>
      <c r="I139" s="49"/>
      <c r="J139" s="49"/>
      <c r="K139" s="49"/>
      <c r="L139" s="49" t="s">
        <v>160</v>
      </c>
      <c r="M139" s="49" t="s">
        <v>160</v>
      </c>
      <c r="N139" s="49" t="s">
        <v>160</v>
      </c>
      <c r="O139" s="49" t="s">
        <v>160</v>
      </c>
      <c r="P139" s="49" t="s">
        <v>160</v>
      </c>
      <c r="Q139" s="49" t="s">
        <v>160</v>
      </c>
      <c r="R139" s="11"/>
    </row>
    <row r="140" ht="14.25" customHeight="1">
      <c r="B140" s="10" t="s">
        <v>149</v>
      </c>
      <c r="C140" s="49"/>
      <c r="D140" s="49"/>
      <c r="E140" s="49"/>
      <c r="F140" s="49"/>
      <c r="G140" s="49"/>
      <c r="H140" s="49"/>
      <c r="I140" s="49"/>
      <c r="J140" s="49"/>
      <c r="K140" s="49"/>
      <c r="L140" s="49" t="s">
        <v>160</v>
      </c>
      <c r="M140" s="49" t="s">
        <v>160</v>
      </c>
      <c r="N140" s="49" t="s">
        <v>160</v>
      </c>
      <c r="O140" s="49" t="s">
        <v>160</v>
      </c>
      <c r="P140" s="49" t="s">
        <v>160</v>
      </c>
      <c r="Q140" s="49" t="s">
        <v>160</v>
      </c>
      <c r="R140" s="11"/>
    </row>
    <row r="141" ht="14.25" customHeight="1">
      <c r="B141" s="9" t="s">
        <v>150</v>
      </c>
      <c r="C141" s="49"/>
      <c r="D141" s="49"/>
      <c r="E141" s="49"/>
      <c r="F141" s="49"/>
      <c r="G141" s="49"/>
      <c r="H141" s="49"/>
      <c r="I141" s="49"/>
      <c r="J141" s="49"/>
      <c r="K141" s="49"/>
      <c r="L141" s="49" t="s">
        <v>160</v>
      </c>
      <c r="M141" s="49" t="s">
        <v>160</v>
      </c>
      <c r="N141" s="49" t="s">
        <v>160</v>
      </c>
      <c r="O141" s="49" t="s">
        <v>160</v>
      </c>
      <c r="P141" s="49" t="s">
        <v>160</v>
      </c>
      <c r="Q141" s="49" t="s">
        <v>160</v>
      </c>
      <c r="R141" s="11"/>
    </row>
    <row r="142" ht="14.25" customHeight="1">
      <c r="B142" s="10" t="s">
        <v>151</v>
      </c>
      <c r="C142" s="49"/>
      <c r="D142" s="49"/>
      <c r="E142" s="49"/>
      <c r="F142" s="49"/>
      <c r="G142" s="49"/>
      <c r="H142" s="49"/>
      <c r="I142" s="49"/>
      <c r="J142" s="49"/>
      <c r="K142" s="49"/>
      <c r="L142" s="49" t="s">
        <v>160</v>
      </c>
      <c r="M142" s="49" t="s">
        <v>160</v>
      </c>
      <c r="N142" s="49" t="s">
        <v>160</v>
      </c>
      <c r="O142" s="49" t="s">
        <v>160</v>
      </c>
      <c r="P142" s="49" t="s">
        <v>160</v>
      </c>
      <c r="Q142" s="49" t="s">
        <v>160</v>
      </c>
      <c r="R142" s="11"/>
    </row>
    <row r="143" ht="14.25" customHeight="1">
      <c r="B143" s="10" t="s">
        <v>152</v>
      </c>
      <c r="C143" s="49"/>
      <c r="D143" s="49"/>
      <c r="E143" s="49"/>
      <c r="F143" s="49"/>
      <c r="G143" s="49"/>
      <c r="H143" s="49"/>
      <c r="I143" s="49"/>
      <c r="J143" s="49"/>
      <c r="K143" s="49"/>
      <c r="L143" s="49" t="s">
        <v>160</v>
      </c>
      <c r="M143" s="49" t="s">
        <v>160</v>
      </c>
      <c r="N143" s="49" t="s">
        <v>160</v>
      </c>
      <c r="O143" s="49" t="s">
        <v>160</v>
      </c>
      <c r="P143" s="49" t="s">
        <v>160</v>
      </c>
      <c r="Q143" s="49" t="s">
        <v>160</v>
      </c>
      <c r="R143" s="11"/>
    </row>
    <row r="144" ht="14.25" customHeight="1">
      <c r="B144" s="10" t="s">
        <v>153</v>
      </c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11"/>
    </row>
    <row r="145" ht="14.25" customHeight="1">
      <c r="B145" s="10" t="s">
        <v>154</v>
      </c>
      <c r="C145" s="49"/>
      <c r="D145" s="49"/>
      <c r="E145" s="49"/>
      <c r="F145" s="49"/>
      <c r="G145" s="49"/>
      <c r="H145" s="49"/>
      <c r="I145" s="49"/>
      <c r="J145" s="49"/>
      <c r="K145" s="49"/>
      <c r="L145" s="49" t="s">
        <v>160</v>
      </c>
      <c r="M145" s="49" t="s">
        <v>160</v>
      </c>
      <c r="N145" s="49" t="s">
        <v>160</v>
      </c>
      <c r="O145" s="49" t="s">
        <v>160</v>
      </c>
      <c r="P145" s="49" t="s">
        <v>160</v>
      </c>
      <c r="Q145" s="49" t="s">
        <v>160</v>
      </c>
      <c r="R145" s="11"/>
    </row>
    <row r="146" ht="14.25" customHeight="1">
      <c r="B146" s="10" t="s">
        <v>155</v>
      </c>
      <c r="C146" s="49"/>
      <c r="D146" s="49"/>
      <c r="E146" s="49"/>
      <c r="F146" s="49"/>
      <c r="G146" s="49"/>
      <c r="H146" s="49"/>
      <c r="I146" s="49"/>
      <c r="J146" s="49"/>
      <c r="K146" s="49"/>
      <c r="L146" s="49" t="s">
        <v>160</v>
      </c>
      <c r="M146" s="49" t="s">
        <v>160</v>
      </c>
      <c r="N146" s="49" t="s">
        <v>160</v>
      </c>
      <c r="O146" s="49" t="s">
        <v>162</v>
      </c>
      <c r="P146" s="49"/>
      <c r="Q146" s="49"/>
      <c r="R146" s="11"/>
    </row>
    <row r="147" ht="14.25" customHeight="1">
      <c r="B147" s="10" t="s">
        <v>156</v>
      </c>
      <c r="C147" s="49"/>
      <c r="D147" s="49"/>
      <c r="E147" s="49"/>
      <c r="F147" s="49"/>
      <c r="G147" s="49"/>
      <c r="H147" s="49"/>
      <c r="I147" s="49"/>
      <c r="J147" s="49"/>
      <c r="K147" s="49"/>
      <c r="L147" s="49" t="s">
        <v>160</v>
      </c>
      <c r="M147" s="49" t="s">
        <v>160</v>
      </c>
      <c r="N147" s="49" t="s">
        <v>160</v>
      </c>
      <c r="O147" s="49"/>
      <c r="P147" s="49"/>
      <c r="Q147" s="49"/>
      <c r="R147" s="11"/>
    </row>
    <row r="148" ht="14.25" customHeight="1">
      <c r="B148" s="10" t="s">
        <v>157</v>
      </c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 t="str">
        <f t="shared" ref="O148:Q148" si="45">$B$125</f>
        <v>SiC</v>
      </c>
      <c r="P148" s="49" t="str">
        <f t="shared" si="45"/>
        <v>SiC</v>
      </c>
      <c r="Q148" s="49" t="str">
        <f t="shared" si="45"/>
        <v>SiC</v>
      </c>
      <c r="R148" s="11"/>
    </row>
    <row r="149" ht="14.25" customHeight="1">
      <c r="A149" s="10" t="s">
        <v>45</v>
      </c>
      <c r="B149" s="14" t="s">
        <v>163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1"/>
    </row>
    <row r="150" ht="14.25" customHeight="1">
      <c r="B150" s="45">
        <v>420.0</v>
      </c>
      <c r="C150" s="49"/>
      <c r="D150" s="49"/>
      <c r="E150" s="49"/>
      <c r="F150" s="49"/>
      <c r="G150" s="49"/>
      <c r="H150" s="49"/>
      <c r="I150" s="49"/>
      <c r="J150" s="49"/>
      <c r="K150" s="49"/>
      <c r="L150" s="49" t="s">
        <v>164</v>
      </c>
      <c r="M150" s="49" t="s">
        <v>164</v>
      </c>
      <c r="N150" s="49" t="s">
        <v>164</v>
      </c>
      <c r="O150" s="49"/>
      <c r="P150" s="44"/>
      <c r="Q150" s="44"/>
      <c r="R150" s="11"/>
    </row>
    <row r="151" ht="14.25" customHeight="1">
      <c r="B151" s="9">
        <v>4140.0</v>
      </c>
      <c r="C151" s="49"/>
      <c r="D151" s="49"/>
      <c r="E151" s="49"/>
      <c r="F151" s="49"/>
      <c r="G151" s="49"/>
      <c r="H151" s="49"/>
      <c r="I151" s="49"/>
      <c r="J151" s="49"/>
      <c r="K151" s="49"/>
      <c r="L151" s="49" t="s">
        <v>165</v>
      </c>
      <c r="M151" s="49" t="s">
        <v>165</v>
      </c>
      <c r="N151" s="49" t="s">
        <v>165</v>
      </c>
      <c r="O151" s="49" t="s">
        <v>165</v>
      </c>
      <c r="P151" s="49" t="s">
        <v>165</v>
      </c>
      <c r="Q151" s="49" t="s">
        <v>165</v>
      </c>
      <c r="R151" s="11"/>
    </row>
    <row r="152" ht="14.25" customHeight="1">
      <c r="B152" s="10" t="s">
        <v>137</v>
      </c>
      <c r="C152" s="49"/>
      <c r="D152" s="49"/>
      <c r="E152" s="49"/>
      <c r="F152" s="49"/>
      <c r="G152" s="49"/>
      <c r="H152" s="49"/>
      <c r="I152" s="49"/>
      <c r="J152" s="49"/>
      <c r="K152" s="49"/>
      <c r="L152" s="49" t="s">
        <v>160</v>
      </c>
      <c r="M152" s="49" t="s">
        <v>160</v>
      </c>
      <c r="N152" s="49" t="s">
        <v>160</v>
      </c>
      <c r="O152" s="49" t="s">
        <v>160</v>
      </c>
      <c r="P152" s="49" t="s">
        <v>160</v>
      </c>
      <c r="Q152" s="49" t="s">
        <v>160</v>
      </c>
      <c r="R152" s="11"/>
    </row>
    <row r="153" ht="14.25" customHeight="1">
      <c r="B153" s="9" t="s">
        <v>138</v>
      </c>
      <c r="C153" s="49"/>
      <c r="D153" s="49"/>
      <c r="E153" s="49"/>
      <c r="F153" s="49"/>
      <c r="G153" s="49"/>
      <c r="H153" s="49"/>
      <c r="I153" s="49"/>
      <c r="J153" s="49"/>
      <c r="K153" s="49"/>
      <c r="L153" s="49" t="s">
        <v>160</v>
      </c>
      <c r="M153" s="49" t="s">
        <v>160</v>
      </c>
      <c r="N153" s="49" t="s">
        <v>160</v>
      </c>
      <c r="O153" s="49"/>
      <c r="P153" s="49"/>
      <c r="Q153" s="49"/>
      <c r="R153" s="11"/>
    </row>
    <row r="154" ht="14.25" customHeight="1">
      <c r="B154" s="10" t="s">
        <v>139</v>
      </c>
      <c r="C154" s="49" t="s">
        <v>165</v>
      </c>
      <c r="D154" s="49" t="s">
        <v>165</v>
      </c>
      <c r="E154" s="49" t="s">
        <v>165</v>
      </c>
      <c r="F154" s="49" t="s">
        <v>165</v>
      </c>
      <c r="G154" s="49" t="s">
        <v>165</v>
      </c>
      <c r="H154" s="49" t="s">
        <v>165</v>
      </c>
      <c r="I154" s="49" t="s">
        <v>165</v>
      </c>
      <c r="J154" s="49" t="s">
        <v>165</v>
      </c>
      <c r="K154" s="49" t="s">
        <v>165</v>
      </c>
      <c r="L154" s="49" t="s">
        <v>160</v>
      </c>
      <c r="M154" s="49" t="s">
        <v>160</v>
      </c>
      <c r="N154" s="49" t="s">
        <v>160</v>
      </c>
      <c r="O154" s="49" t="s">
        <v>160</v>
      </c>
      <c r="P154" s="49" t="s">
        <v>160</v>
      </c>
      <c r="Q154" s="49" t="s">
        <v>160</v>
      </c>
      <c r="R154" s="11"/>
    </row>
    <row r="155" ht="14.25" customHeight="1">
      <c r="B155" s="10" t="s">
        <v>140</v>
      </c>
      <c r="C155" s="49"/>
      <c r="D155" s="49"/>
      <c r="E155" s="49"/>
      <c r="F155" s="49"/>
      <c r="G155" s="49"/>
      <c r="H155" s="49"/>
      <c r="I155" s="49"/>
      <c r="J155" s="49"/>
      <c r="K155" s="49"/>
      <c r="L155" s="49" t="s">
        <v>160</v>
      </c>
      <c r="M155" s="49" t="s">
        <v>160</v>
      </c>
      <c r="N155" s="49" t="s">
        <v>160</v>
      </c>
      <c r="O155" s="49" t="s">
        <v>160</v>
      </c>
      <c r="P155" s="49" t="s">
        <v>160</v>
      </c>
      <c r="Q155" s="49" t="s">
        <v>160</v>
      </c>
      <c r="R155" s="11"/>
    </row>
    <row r="156" ht="14.25" customHeight="1">
      <c r="B156" s="10" t="s">
        <v>141</v>
      </c>
      <c r="C156" s="49"/>
      <c r="D156" s="49"/>
      <c r="E156" s="49"/>
      <c r="F156" s="49"/>
      <c r="G156" s="49"/>
      <c r="H156" s="49"/>
      <c r="I156" s="49"/>
      <c r="J156" s="49"/>
      <c r="K156" s="49"/>
      <c r="L156" s="49" t="s">
        <v>160</v>
      </c>
      <c r="M156" s="49" t="s">
        <v>160</v>
      </c>
      <c r="N156" s="49" t="s">
        <v>160</v>
      </c>
      <c r="O156" s="49"/>
      <c r="P156" s="49"/>
      <c r="Q156" s="49"/>
      <c r="R156" s="11"/>
    </row>
    <row r="157" ht="14.25" customHeight="1">
      <c r="B157" s="10" t="s">
        <v>142</v>
      </c>
      <c r="C157" s="44"/>
      <c r="D157" s="44"/>
      <c r="E157" s="44"/>
      <c r="F157" s="44"/>
      <c r="G157" s="44"/>
      <c r="H157" s="44"/>
      <c r="I157" s="44"/>
      <c r="J157" s="44"/>
      <c r="K157" s="44"/>
      <c r="L157" s="49" t="s">
        <v>160</v>
      </c>
      <c r="M157" s="49" t="s">
        <v>160</v>
      </c>
      <c r="N157" s="49" t="s">
        <v>160</v>
      </c>
      <c r="O157" s="44"/>
      <c r="P157" s="44"/>
      <c r="Q157" s="44"/>
      <c r="R157" s="11"/>
    </row>
    <row r="158" ht="14.25" customHeight="1">
      <c r="B158" s="10" t="s">
        <v>143</v>
      </c>
      <c r="C158" s="49"/>
      <c r="D158" s="49"/>
      <c r="E158" s="49"/>
      <c r="F158" s="49"/>
      <c r="G158" s="49"/>
      <c r="H158" s="49"/>
      <c r="I158" s="49"/>
      <c r="J158" s="49"/>
      <c r="K158" s="49"/>
      <c r="L158" s="49" t="s">
        <v>160</v>
      </c>
      <c r="M158" s="49" t="s">
        <v>160</v>
      </c>
      <c r="N158" s="49" t="s">
        <v>160</v>
      </c>
      <c r="O158" s="49" t="s">
        <v>165</v>
      </c>
      <c r="P158" s="49" t="s">
        <v>165</v>
      </c>
      <c r="Q158" s="49" t="s">
        <v>165</v>
      </c>
      <c r="R158" s="11"/>
    </row>
    <row r="159" ht="14.25" customHeight="1">
      <c r="B159" s="10" t="s">
        <v>144</v>
      </c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11"/>
    </row>
    <row r="160" ht="14.25" customHeight="1">
      <c r="B160" s="10" t="s">
        <v>146</v>
      </c>
      <c r="C160" s="49"/>
      <c r="D160" s="49"/>
      <c r="E160" s="49"/>
      <c r="F160" s="49"/>
      <c r="G160" s="49"/>
      <c r="H160" s="49"/>
      <c r="I160" s="49"/>
      <c r="J160" s="49"/>
      <c r="K160" s="49"/>
      <c r="L160" s="49" t="s">
        <v>160</v>
      </c>
      <c r="M160" s="49" t="s">
        <v>160</v>
      </c>
      <c r="N160" s="49" t="s">
        <v>160</v>
      </c>
      <c r="O160" s="49" t="s">
        <v>160</v>
      </c>
      <c r="P160" s="49" t="s">
        <v>160</v>
      </c>
      <c r="Q160" s="49" t="s">
        <v>160</v>
      </c>
      <c r="R160" s="11"/>
    </row>
    <row r="161" ht="14.25" customHeight="1">
      <c r="B161" s="9" t="s">
        <v>147</v>
      </c>
      <c r="C161" s="49"/>
      <c r="D161" s="49"/>
      <c r="E161" s="49"/>
      <c r="F161" s="49"/>
      <c r="G161" s="49"/>
      <c r="H161" s="49"/>
      <c r="I161" s="49"/>
      <c r="J161" s="49"/>
      <c r="K161" s="49"/>
      <c r="L161" s="49" t="s">
        <v>162</v>
      </c>
      <c r="M161" s="49" t="s">
        <v>162</v>
      </c>
      <c r="N161" s="49" t="s">
        <v>162</v>
      </c>
      <c r="O161" s="49"/>
      <c r="P161" s="49"/>
      <c r="Q161" s="49"/>
      <c r="R161" s="11"/>
    </row>
    <row r="162" ht="14.25" customHeight="1">
      <c r="B162" s="10" t="s">
        <v>148</v>
      </c>
      <c r="C162" s="49"/>
      <c r="D162" s="49"/>
      <c r="E162" s="49"/>
      <c r="F162" s="49"/>
      <c r="G162" s="49"/>
      <c r="H162" s="49"/>
      <c r="I162" s="49"/>
      <c r="J162" s="49"/>
      <c r="K162" s="49"/>
      <c r="L162" s="49" t="s">
        <v>160</v>
      </c>
      <c r="M162" s="49" t="s">
        <v>160</v>
      </c>
      <c r="N162" s="49" t="s">
        <v>160</v>
      </c>
      <c r="O162" s="49" t="s">
        <v>160</v>
      </c>
      <c r="P162" s="49" t="s">
        <v>160</v>
      </c>
      <c r="Q162" s="49" t="s">
        <v>160</v>
      </c>
      <c r="R162" s="11"/>
    </row>
    <row r="163" ht="14.25" customHeight="1">
      <c r="B163" s="10" t="s">
        <v>149</v>
      </c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 t="s">
        <v>165</v>
      </c>
      <c r="P163" s="49" t="s">
        <v>165</v>
      </c>
      <c r="Q163" s="49" t="s">
        <v>165</v>
      </c>
      <c r="R163" s="11"/>
    </row>
    <row r="164" ht="14.25" customHeight="1">
      <c r="B164" s="9" t="s">
        <v>150</v>
      </c>
      <c r="C164" s="49"/>
      <c r="D164" s="49"/>
      <c r="E164" s="49"/>
      <c r="F164" s="49"/>
      <c r="G164" s="49"/>
      <c r="H164" s="49"/>
      <c r="I164" s="49"/>
      <c r="J164" s="49"/>
      <c r="K164" s="49"/>
      <c r="L164" s="49" t="s">
        <v>162</v>
      </c>
      <c r="M164" s="49" t="s">
        <v>162</v>
      </c>
      <c r="N164" s="49" t="s">
        <v>162</v>
      </c>
      <c r="O164" s="49" t="s">
        <v>160</v>
      </c>
      <c r="P164" s="49" t="s">
        <v>160</v>
      </c>
      <c r="Q164" s="49" t="s">
        <v>160</v>
      </c>
      <c r="R164" s="11"/>
    </row>
    <row r="165" ht="14.25" customHeight="1">
      <c r="B165" s="10" t="s">
        <v>151</v>
      </c>
      <c r="C165" s="49" t="s">
        <v>164</v>
      </c>
      <c r="D165" s="49" t="s">
        <v>164</v>
      </c>
      <c r="E165" s="49" t="s">
        <v>164</v>
      </c>
      <c r="F165" s="49" t="s">
        <v>164</v>
      </c>
      <c r="G165" s="49" t="s">
        <v>164</v>
      </c>
      <c r="H165" s="49" t="s">
        <v>164</v>
      </c>
      <c r="I165" s="49" t="s">
        <v>164</v>
      </c>
      <c r="J165" s="49" t="s">
        <v>164</v>
      </c>
      <c r="K165" s="49" t="s">
        <v>164</v>
      </c>
      <c r="L165" s="49"/>
      <c r="M165" s="49"/>
      <c r="N165" s="49"/>
      <c r="O165" s="49" t="s">
        <v>166</v>
      </c>
      <c r="P165" s="49" t="s">
        <v>166</v>
      </c>
      <c r="Q165" s="49" t="s">
        <v>166</v>
      </c>
      <c r="R165" s="11"/>
    </row>
    <row r="166" ht="14.25" customHeight="1">
      <c r="B166" s="10" t="s">
        <v>152</v>
      </c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 t="s">
        <v>160</v>
      </c>
      <c r="P166" s="49" t="s">
        <v>160</v>
      </c>
      <c r="Q166" s="49" t="s">
        <v>160</v>
      </c>
      <c r="R166" s="11"/>
    </row>
    <row r="167" ht="14.25" customHeight="1">
      <c r="B167" s="10" t="s">
        <v>153</v>
      </c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11"/>
    </row>
    <row r="168" ht="14.25" customHeight="1">
      <c r="B168" s="10" t="s">
        <v>154</v>
      </c>
      <c r="C168" s="49"/>
      <c r="D168" s="49"/>
      <c r="E168" s="49"/>
      <c r="F168" s="49"/>
      <c r="G168" s="49"/>
      <c r="H168" s="49"/>
      <c r="I168" s="49"/>
      <c r="J168" s="49"/>
      <c r="K168" s="49"/>
      <c r="L168" s="49" t="s">
        <v>160</v>
      </c>
      <c r="M168" s="49" t="s">
        <v>160</v>
      </c>
      <c r="N168" s="49" t="s">
        <v>160</v>
      </c>
      <c r="O168" s="49" t="s">
        <v>160</v>
      </c>
      <c r="P168" s="49" t="s">
        <v>160</v>
      </c>
      <c r="Q168" s="49" t="s">
        <v>160</v>
      </c>
      <c r="R168" s="11"/>
    </row>
    <row r="169" ht="14.25" customHeight="1">
      <c r="B169" s="10" t="s">
        <v>155</v>
      </c>
      <c r="C169" s="49"/>
      <c r="D169" s="49"/>
      <c r="E169" s="49"/>
      <c r="F169" s="49"/>
      <c r="G169" s="49"/>
      <c r="H169" s="49"/>
      <c r="I169" s="49"/>
      <c r="J169" s="49"/>
      <c r="K169" s="49"/>
      <c r="L169" s="49" t="s">
        <v>160</v>
      </c>
      <c r="M169" s="49" t="s">
        <v>160</v>
      </c>
      <c r="N169" s="49" t="s">
        <v>160</v>
      </c>
      <c r="O169" s="49" t="s">
        <v>162</v>
      </c>
      <c r="P169" s="49" t="s">
        <v>162</v>
      </c>
      <c r="Q169" s="49" t="s">
        <v>162</v>
      </c>
      <c r="R169" s="11"/>
    </row>
    <row r="170" ht="14.25" customHeight="1">
      <c r="B170" s="10" t="s">
        <v>156</v>
      </c>
      <c r="C170" s="49"/>
      <c r="D170" s="49"/>
      <c r="E170" s="49"/>
      <c r="F170" s="49"/>
      <c r="G170" s="49"/>
      <c r="H170" s="49"/>
      <c r="I170" s="49"/>
      <c r="J170" s="49"/>
      <c r="K170" s="49"/>
      <c r="L170" s="49" t="s">
        <v>160</v>
      </c>
      <c r="M170" s="49" t="s">
        <v>160</v>
      </c>
      <c r="N170" s="49" t="s">
        <v>160</v>
      </c>
      <c r="O170" s="49"/>
      <c r="P170" s="49"/>
      <c r="Q170" s="49"/>
      <c r="R170" s="11"/>
    </row>
    <row r="171" ht="14.25" customHeight="1">
      <c r="B171" s="10" t="s">
        <v>157</v>
      </c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 t="str">
        <f t="shared" ref="O171:Q171" si="46">$B$125</f>
        <v>SiC</v>
      </c>
      <c r="P171" s="49" t="str">
        <f t="shared" si="46"/>
        <v>SiC</v>
      </c>
      <c r="Q171" s="49" t="str">
        <f t="shared" si="46"/>
        <v>SiC</v>
      </c>
      <c r="R171" s="11"/>
    </row>
    <row r="172" ht="14.25" customHeight="1"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4"/>
      <c r="Q172" s="44"/>
      <c r="R172" s="11"/>
    </row>
    <row r="173" ht="14.25" customHeight="1"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4"/>
      <c r="Q173" s="44"/>
      <c r="R173" s="11"/>
    </row>
    <row r="174" ht="14.25" customHeight="1"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4"/>
      <c r="Q174" s="44"/>
      <c r="R174" s="11"/>
    </row>
    <row r="175" ht="14.25" customHeight="1"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4"/>
      <c r="Q175" s="44"/>
      <c r="R175" s="11"/>
    </row>
    <row r="176" ht="14.25" customHeight="1">
      <c r="R176" s="11"/>
    </row>
    <row r="177" ht="14.25" customHeight="1">
      <c r="R177" s="11"/>
    </row>
    <row r="178" ht="14.25" customHeight="1">
      <c r="C178" s="51" t="s">
        <v>167</v>
      </c>
      <c r="D178" s="13" t="s">
        <v>168</v>
      </c>
      <c r="E178" s="51" t="s">
        <v>169</v>
      </c>
      <c r="F178" s="51" t="s">
        <v>170</v>
      </c>
      <c r="G178" s="51" t="s">
        <v>171</v>
      </c>
      <c r="H178" s="51" t="s">
        <v>172</v>
      </c>
      <c r="I178" s="51" t="s">
        <v>173</v>
      </c>
      <c r="J178" s="51" t="s">
        <v>174</v>
      </c>
      <c r="K178" s="51" t="s">
        <v>175</v>
      </c>
      <c r="L178" s="52">
        <v>2.0</v>
      </c>
      <c r="M178" s="52">
        <v>4.0</v>
      </c>
      <c r="N178" s="52">
        <v>6.0</v>
      </c>
      <c r="O178" s="52">
        <v>12.0</v>
      </c>
      <c r="P178" s="52" t="s">
        <v>176</v>
      </c>
      <c r="Q178" s="52" t="s">
        <v>176</v>
      </c>
      <c r="R178" s="52"/>
      <c r="T178" s="11"/>
    </row>
    <row r="179" ht="14.25" customHeight="1">
      <c r="A179" s="10" t="s">
        <v>45</v>
      </c>
      <c r="B179" s="14" t="s">
        <v>177</v>
      </c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15"/>
      <c r="Q179" s="15"/>
      <c r="S179" s="10" t="s">
        <v>178</v>
      </c>
      <c r="T179" s="11"/>
      <c r="V179" s="10" t="s">
        <v>179</v>
      </c>
      <c r="W179" s="11"/>
    </row>
    <row r="180" ht="14.25" customHeight="1">
      <c r="B180" s="10" t="s">
        <v>180</v>
      </c>
      <c r="C180" s="18">
        <v>300.0</v>
      </c>
      <c r="D180" s="10">
        <v>244.0</v>
      </c>
      <c r="E180" s="18">
        <v>254.0</v>
      </c>
      <c r="F180" s="18">
        <v>356.0</v>
      </c>
      <c r="G180" s="18">
        <v>356.0</v>
      </c>
      <c r="H180" s="18">
        <v>457.0</v>
      </c>
      <c r="I180" s="18">
        <v>457.0</v>
      </c>
      <c r="J180" s="18">
        <v>457.0</v>
      </c>
      <c r="K180" s="18">
        <v>79.0</v>
      </c>
      <c r="L180" s="18">
        <v>305.0</v>
      </c>
      <c r="M180" s="18">
        <v>420.0</v>
      </c>
      <c r="N180" s="18">
        <v>420.0</v>
      </c>
      <c r="O180" s="18">
        <v>420.0</v>
      </c>
      <c r="P180" s="18">
        <v>999999.0</v>
      </c>
      <c r="Q180" s="18">
        <v>999999.0</v>
      </c>
      <c r="R180" s="11" t="s">
        <v>55</v>
      </c>
      <c r="S180" s="54">
        <v>420.0</v>
      </c>
      <c r="T180" s="55"/>
      <c r="V180" s="54">
        <v>420.0</v>
      </c>
      <c r="W180" s="55"/>
    </row>
    <row r="181" ht="14.25" customHeight="1">
      <c r="B181" s="10" t="s">
        <v>181</v>
      </c>
      <c r="C181" s="18">
        <v>200.0</v>
      </c>
      <c r="D181" s="10">
        <v>270.0</v>
      </c>
      <c r="E181" s="18">
        <v>305.0</v>
      </c>
      <c r="F181" s="18">
        <v>356.0</v>
      </c>
      <c r="G181" s="18">
        <v>610.0</v>
      </c>
      <c r="H181" s="18">
        <v>610.0</v>
      </c>
      <c r="I181" s="18">
        <v>915.0</v>
      </c>
      <c r="J181" s="18">
        <v>1220.0</v>
      </c>
      <c r="K181" s="18">
        <v>508.0</v>
      </c>
      <c r="L181" s="18">
        <v>610.0</v>
      </c>
      <c r="M181" s="18">
        <v>610.0</v>
      </c>
      <c r="N181" s="18">
        <v>915.0</v>
      </c>
      <c r="O181" s="18">
        <v>1524.0</v>
      </c>
      <c r="P181" s="18">
        <v>999999.0</v>
      </c>
      <c r="Q181" s="18">
        <v>999999.0</v>
      </c>
      <c r="R181" s="11" t="s">
        <v>55</v>
      </c>
      <c r="S181" s="56">
        <v>4140.0</v>
      </c>
      <c r="T181" s="57"/>
      <c r="V181" s="56">
        <v>4140.0</v>
      </c>
      <c r="W181" s="57"/>
    </row>
    <row r="182" ht="14.25" customHeight="1">
      <c r="B182" s="10" t="s">
        <v>182</v>
      </c>
      <c r="C182" s="18">
        <v>200.0</v>
      </c>
      <c r="D182" s="10">
        <v>265.0</v>
      </c>
      <c r="E182" s="18">
        <v>280.0</v>
      </c>
      <c r="F182" s="18">
        <v>356.0</v>
      </c>
      <c r="G182" s="18">
        <v>356.0</v>
      </c>
      <c r="H182" s="18">
        <v>457.0</v>
      </c>
      <c r="I182" s="18">
        <v>457.0</v>
      </c>
      <c r="J182" s="18">
        <v>457.0</v>
      </c>
      <c r="K182" s="18">
        <v>79.0</v>
      </c>
      <c r="L182" s="18">
        <v>305.0</v>
      </c>
      <c r="M182" s="18">
        <v>460.0</v>
      </c>
      <c r="N182" s="18">
        <v>460.0</v>
      </c>
      <c r="O182" s="18">
        <v>460.0</v>
      </c>
      <c r="P182" s="18">
        <v>999999.0</v>
      </c>
      <c r="Q182" s="18">
        <v>999999.0</v>
      </c>
      <c r="R182" s="11" t="s">
        <v>55</v>
      </c>
      <c r="S182" s="58" t="s">
        <v>137</v>
      </c>
      <c r="T182" s="59">
        <v>2900.0</v>
      </c>
      <c r="V182" s="58" t="s">
        <v>137</v>
      </c>
      <c r="W182" s="59"/>
    </row>
    <row r="183" ht="14.25" customHeight="1">
      <c r="B183" s="10" t="s">
        <v>183</v>
      </c>
      <c r="C183" s="60">
        <f>C180*C181*C182/10^6</f>
        <v>12</v>
      </c>
      <c r="D183" s="10">
        <v>15.9</v>
      </c>
      <c r="E183" s="60">
        <f>E180*E181*E182/10^6</f>
        <v>21.6916</v>
      </c>
      <c r="F183" s="60">
        <v>40.0</v>
      </c>
      <c r="G183" s="60">
        <v>65.0</v>
      </c>
      <c r="H183" s="60">
        <v>120.0</v>
      </c>
      <c r="I183" s="60">
        <v>190.0</v>
      </c>
      <c r="J183" s="60">
        <v>250.0</v>
      </c>
      <c r="K183" s="60">
        <v>3.17</v>
      </c>
      <c r="L183" s="60">
        <f t="shared" ref="L183:O183" si="47">L180*L181*L182/10^6</f>
        <v>56.74525</v>
      </c>
      <c r="M183" s="60">
        <f t="shared" si="47"/>
        <v>117.852</v>
      </c>
      <c r="N183" s="60">
        <f t="shared" si="47"/>
        <v>176.778</v>
      </c>
      <c r="O183" s="60">
        <f t="shared" si="47"/>
        <v>294.4368</v>
      </c>
      <c r="P183" s="18"/>
      <c r="Q183" s="18"/>
      <c r="R183" s="11" t="s">
        <v>95</v>
      </c>
      <c r="S183" s="58" t="s">
        <v>138</v>
      </c>
      <c r="T183" s="58"/>
      <c r="V183" s="58" t="s">
        <v>138</v>
      </c>
      <c r="W183" s="58"/>
    </row>
    <row r="184" ht="14.25" customHeight="1">
      <c r="B184" s="10" t="s">
        <v>183</v>
      </c>
      <c r="C184" s="60">
        <f t="shared" ref="C184:F184" si="48">C183*10^6/25.4^3/12^3</f>
        <v>0.4237760007</v>
      </c>
      <c r="D184" s="60">
        <f t="shared" si="48"/>
        <v>0.5615032009</v>
      </c>
      <c r="E184" s="60">
        <f t="shared" si="48"/>
        <v>0.7660316247</v>
      </c>
      <c r="F184" s="60">
        <f t="shared" si="48"/>
        <v>1.412586669</v>
      </c>
      <c r="G184" s="60">
        <v>2.3</v>
      </c>
      <c r="H184" s="60">
        <v>4.5</v>
      </c>
      <c r="I184" s="60">
        <v>6.75</v>
      </c>
      <c r="J184" s="60">
        <v>9.0</v>
      </c>
      <c r="K184" s="60">
        <v>0.11</v>
      </c>
      <c r="L184" s="60">
        <f t="shared" ref="L184:O184" si="49">L183*10^6/25.4^3/12^3</f>
        <v>2.003939592</v>
      </c>
      <c r="M184" s="60">
        <f t="shared" si="49"/>
        <v>4.161904102</v>
      </c>
      <c r="N184" s="60">
        <f t="shared" si="49"/>
        <v>6.242856154</v>
      </c>
      <c r="O184" s="60">
        <f t="shared" si="49"/>
        <v>10.39793746</v>
      </c>
      <c r="P184" s="18"/>
      <c r="Q184" s="18"/>
      <c r="R184" s="11" t="s">
        <v>184</v>
      </c>
      <c r="S184" s="58" t="s">
        <v>139</v>
      </c>
      <c r="T184" s="59"/>
      <c r="V184" s="58" t="s">
        <v>139</v>
      </c>
      <c r="W184" s="59"/>
    </row>
    <row r="185" ht="14.25" customHeight="1">
      <c r="B185" s="10" t="s">
        <v>185</v>
      </c>
      <c r="C185" s="36">
        <v>5.0</v>
      </c>
      <c r="D185" s="10">
        <v>7.0</v>
      </c>
      <c r="E185" s="36">
        <v>7.0</v>
      </c>
      <c r="F185" s="36">
        <v>8.0</v>
      </c>
      <c r="G185" s="36">
        <v>8.0</v>
      </c>
      <c r="H185" s="36">
        <v>11.0</v>
      </c>
      <c r="I185" s="36">
        <v>11.0</v>
      </c>
      <c r="J185" s="36">
        <v>11.0</v>
      </c>
      <c r="K185" s="36">
        <v>1.0</v>
      </c>
      <c r="L185" s="36">
        <v>11.0</v>
      </c>
      <c r="M185" s="36">
        <v>11.0</v>
      </c>
      <c r="N185" s="36">
        <v>11.0</v>
      </c>
      <c r="O185" s="36">
        <v>11.0</v>
      </c>
      <c r="P185" s="36">
        <v>11.0</v>
      </c>
      <c r="Q185" s="36">
        <v>11.0</v>
      </c>
      <c r="R185" s="11"/>
      <c r="S185" s="58" t="s">
        <v>140</v>
      </c>
      <c r="T185" s="59">
        <v>2750.0</v>
      </c>
      <c r="V185" s="58" t="s">
        <v>140</v>
      </c>
      <c r="W185" s="59"/>
    </row>
    <row r="186" ht="14.25" customHeight="1">
      <c r="B186" s="10" t="s">
        <v>186</v>
      </c>
      <c r="C186" s="18">
        <v>43.0</v>
      </c>
      <c r="D186" s="10">
        <v>23.0</v>
      </c>
      <c r="E186" s="18">
        <v>18.0</v>
      </c>
      <c r="F186" s="18">
        <v>18.0</v>
      </c>
      <c r="G186" s="18">
        <v>18.0</v>
      </c>
      <c r="H186" s="18">
        <v>18.0</v>
      </c>
      <c r="I186" s="18">
        <v>18.0</v>
      </c>
      <c r="J186" s="18">
        <v>18.0</v>
      </c>
      <c r="K186" s="18">
        <v>23.0</v>
      </c>
      <c r="L186" s="18">
        <v>24.0</v>
      </c>
      <c r="M186" s="18">
        <v>22.0</v>
      </c>
      <c r="N186" s="18">
        <v>22.0</v>
      </c>
      <c r="O186" s="18">
        <v>26.0</v>
      </c>
      <c r="P186" s="18">
        <f t="shared" ref="P186:Q186" si="50">24*7</f>
        <v>168</v>
      </c>
      <c r="Q186" s="18">
        <f t="shared" si="50"/>
        <v>168</v>
      </c>
      <c r="R186" s="11" t="s">
        <v>81</v>
      </c>
      <c r="S186" s="61" t="s">
        <v>143</v>
      </c>
      <c r="T186" s="62"/>
      <c r="V186" s="61" t="s">
        <v>143</v>
      </c>
      <c r="W186" s="62"/>
    </row>
    <row r="187" ht="14.25" customHeight="1">
      <c r="B187" s="10" t="s">
        <v>187</v>
      </c>
      <c r="C187" s="18">
        <f>IF(VLOOKUP(Universal!material_sel,S180:T198,2,FALSE)=FALSE,2400,VLOOKUP(Universal!material_sel,S180:T198,2,FALSE))</f>
        <v>2900</v>
      </c>
      <c r="D187" s="10">
        <v>6300.0</v>
      </c>
      <c r="E187" s="18">
        <v>11520.0</v>
      </c>
      <c r="F187" s="18">
        <v>19200.0</v>
      </c>
      <c r="G187" s="18">
        <v>24000.0</v>
      </c>
      <c r="H187" s="18">
        <v>33600.0</v>
      </c>
      <c r="I187" s="18">
        <v>38400.0</v>
      </c>
      <c r="J187" s="18">
        <v>52800.0</v>
      </c>
      <c r="K187" s="18"/>
      <c r="L187" s="18">
        <v>660.0</v>
      </c>
      <c r="M187" s="18">
        <v>1300.0</v>
      </c>
      <c r="N187" s="18">
        <v>1700.0</v>
      </c>
      <c r="O187" s="18">
        <v>2800.0</v>
      </c>
      <c r="P187" s="18">
        <v>0.0</v>
      </c>
      <c r="Q187" s="18">
        <v>0.0</v>
      </c>
      <c r="R187" s="11" t="s">
        <v>188</v>
      </c>
      <c r="S187" s="63" t="s">
        <v>144</v>
      </c>
      <c r="T187" s="55">
        <v>4400.0</v>
      </c>
      <c r="V187" s="63" t="s">
        <v>144</v>
      </c>
      <c r="W187" s="55"/>
    </row>
    <row r="188" ht="14.25" customHeight="1">
      <c r="B188" s="10" t="s">
        <v>189</v>
      </c>
      <c r="C188" s="18">
        <v>1.25</v>
      </c>
      <c r="D188" s="10">
        <v>7.0</v>
      </c>
      <c r="E188" s="18">
        <v>12.5</v>
      </c>
      <c r="F188" s="18">
        <v>20.0</v>
      </c>
      <c r="G188" s="18">
        <v>24.16</v>
      </c>
      <c r="H188" s="18">
        <v>30.83</v>
      </c>
      <c r="I188" s="18">
        <v>34.16</v>
      </c>
      <c r="J188" s="18">
        <v>37.5</v>
      </c>
      <c r="K188" s="18">
        <v>4.5</v>
      </c>
      <c r="L188" s="18">
        <v>60.0</v>
      </c>
      <c r="M188" s="18">
        <v>80.0</v>
      </c>
      <c r="N188" s="18">
        <v>100.0</v>
      </c>
      <c r="O188" s="18">
        <v>120.0</v>
      </c>
      <c r="P188" s="18">
        <v>0.0</v>
      </c>
      <c r="Q188" s="18">
        <v>0.0</v>
      </c>
      <c r="R188" s="11" t="s">
        <v>112</v>
      </c>
      <c r="S188" s="63" t="s">
        <v>146</v>
      </c>
      <c r="T188" s="55"/>
      <c r="V188" s="63" t="s">
        <v>146</v>
      </c>
      <c r="W188" s="55"/>
    </row>
    <row r="189" ht="14.25" customHeight="1">
      <c r="B189" s="10" t="s">
        <v>190</v>
      </c>
      <c r="C189" s="37">
        <v>0.0</v>
      </c>
      <c r="E189" s="24">
        <v>2.6</v>
      </c>
      <c r="F189" s="24">
        <v>2.6</v>
      </c>
      <c r="G189" s="24">
        <v>2.6</v>
      </c>
      <c r="H189" s="24">
        <v>2.6</v>
      </c>
      <c r="I189" s="24">
        <v>2.6</v>
      </c>
      <c r="J189" s="24">
        <v>2.6</v>
      </c>
      <c r="K189" s="33"/>
      <c r="L189" s="24">
        <v>2.6</v>
      </c>
      <c r="M189" s="24">
        <v>2.6</v>
      </c>
      <c r="N189" s="24">
        <v>2.6</v>
      </c>
      <c r="O189" s="24">
        <v>2.6</v>
      </c>
      <c r="P189" s="24">
        <v>2.6</v>
      </c>
      <c r="Q189" s="24">
        <v>2.6</v>
      </c>
      <c r="R189" s="11" t="s">
        <v>55</v>
      </c>
      <c r="S189" s="54" t="s">
        <v>147</v>
      </c>
      <c r="T189" s="55"/>
      <c r="V189" s="54" t="s">
        <v>147</v>
      </c>
      <c r="W189" s="55"/>
    </row>
    <row r="190" ht="14.25" customHeight="1">
      <c r="B190" s="10" t="s">
        <v>191</v>
      </c>
      <c r="C190" s="24">
        <v>5.0</v>
      </c>
      <c r="D190" s="10">
        <v>5.0</v>
      </c>
      <c r="E190" s="24">
        <v>5.0</v>
      </c>
      <c r="F190" s="24">
        <v>5.0</v>
      </c>
      <c r="G190" s="24">
        <v>5.0</v>
      </c>
      <c r="H190" s="24">
        <v>5.0</v>
      </c>
      <c r="I190" s="24">
        <v>5.0</v>
      </c>
      <c r="J190" s="24">
        <v>5.0</v>
      </c>
      <c r="K190" s="24">
        <v>5.0</v>
      </c>
      <c r="L190" s="24">
        <v>5.0</v>
      </c>
      <c r="M190" s="24">
        <v>5.0</v>
      </c>
      <c r="N190" s="24">
        <v>5.0</v>
      </c>
      <c r="O190" s="24">
        <v>5.0</v>
      </c>
      <c r="P190" s="24">
        <v>5.0</v>
      </c>
      <c r="Q190" s="24">
        <v>5.0</v>
      </c>
      <c r="R190" s="11" t="s">
        <v>55</v>
      </c>
      <c r="S190" s="63" t="s">
        <v>148</v>
      </c>
      <c r="T190" s="55"/>
      <c r="V190" s="63" t="s">
        <v>148</v>
      </c>
      <c r="W190" s="55"/>
    </row>
    <row r="191" ht="14.25" customHeight="1">
      <c r="B191" s="10" t="s">
        <v>192</v>
      </c>
      <c r="C191" s="24">
        <v>2.0</v>
      </c>
      <c r="D191" s="10">
        <v>2.0</v>
      </c>
      <c r="E191" s="24">
        <v>2.0</v>
      </c>
      <c r="F191" s="24">
        <v>2.0</v>
      </c>
      <c r="G191" s="24">
        <v>2.0</v>
      </c>
      <c r="H191" s="24">
        <v>2.0</v>
      </c>
      <c r="I191" s="24">
        <v>2.0</v>
      </c>
      <c r="J191" s="24">
        <v>2.0</v>
      </c>
      <c r="K191" s="24">
        <v>0.0</v>
      </c>
      <c r="L191" s="24">
        <v>2.0</v>
      </c>
      <c r="M191" s="24">
        <v>2.0</v>
      </c>
      <c r="N191" s="24">
        <v>2.0</v>
      </c>
      <c r="O191" s="24">
        <v>2.0</v>
      </c>
      <c r="P191" s="24">
        <v>2.0</v>
      </c>
      <c r="Q191" s="24">
        <v>2.0</v>
      </c>
      <c r="R191" s="11" t="s">
        <v>55</v>
      </c>
      <c r="S191" s="63" t="s">
        <v>149</v>
      </c>
      <c r="T191" s="55"/>
      <c r="V191" s="63" t="s">
        <v>149</v>
      </c>
      <c r="W191" s="55"/>
    </row>
    <row r="192" ht="14.25" customHeight="1">
      <c r="B192" s="10" t="s">
        <v>193</v>
      </c>
      <c r="C192" s="43">
        <v>125000.0</v>
      </c>
      <c r="D192" s="43">
        <v>210000.0</v>
      </c>
      <c r="E192" s="43">
        <v>350000.0</v>
      </c>
      <c r="F192" s="43">
        <v>470000.0</v>
      </c>
      <c r="G192" s="43">
        <v>585000.0</v>
      </c>
      <c r="H192" s="43">
        <v>700000.0</v>
      </c>
      <c r="I192" s="43">
        <v>825000.0</v>
      </c>
      <c r="J192" s="43">
        <v>950000.0</v>
      </c>
      <c r="K192" s="43">
        <v>91225.0</v>
      </c>
      <c r="L192" s="43">
        <v>350000.0</v>
      </c>
      <c r="M192" s="43">
        <v>500000.0</v>
      </c>
      <c r="N192" s="43">
        <v>700000.0</v>
      </c>
      <c r="O192" s="43">
        <v>1000000.0</v>
      </c>
      <c r="P192" s="43">
        <v>1000000.0</v>
      </c>
      <c r="Q192" s="43">
        <v>1000000.0</v>
      </c>
      <c r="S192" s="54" t="s">
        <v>150</v>
      </c>
      <c r="T192" s="55"/>
      <c r="V192" s="54" t="s">
        <v>150</v>
      </c>
      <c r="W192" s="55"/>
    </row>
    <row r="193" ht="14.25" customHeight="1">
      <c r="B193" s="10" t="s">
        <v>194</v>
      </c>
      <c r="C193" s="24">
        <f>(1.6*1.4)</f>
        <v>2.24</v>
      </c>
      <c r="D193" s="10">
        <v>0.95</v>
      </c>
      <c r="E193" s="24"/>
      <c r="F193" s="24"/>
      <c r="G193" s="24"/>
      <c r="H193" s="24">
        <v>8.94</v>
      </c>
      <c r="I193" s="24"/>
      <c r="J193" s="24"/>
      <c r="K193" s="24">
        <v>0.21</v>
      </c>
      <c r="L193" s="24">
        <v>4.0</v>
      </c>
      <c r="M193" s="24">
        <v>4.0</v>
      </c>
      <c r="N193" s="24">
        <v>5.0</v>
      </c>
      <c r="O193" s="24">
        <v>10.0</v>
      </c>
      <c r="P193" s="24">
        <v>20.0</v>
      </c>
      <c r="Q193" s="24">
        <v>20.0</v>
      </c>
      <c r="R193" s="11" t="s">
        <v>106</v>
      </c>
      <c r="S193" s="63" t="s">
        <v>151</v>
      </c>
      <c r="T193" s="55">
        <v>2500.0</v>
      </c>
      <c r="V193" s="63" t="s">
        <v>151</v>
      </c>
      <c r="W193" s="55"/>
    </row>
    <row r="194" ht="14.25" customHeight="1">
      <c r="B194" s="10" t="s">
        <v>195</v>
      </c>
      <c r="C194" s="44">
        <f>C188*Universal!power_rate</f>
        <v>0.1375</v>
      </c>
      <c r="D194" s="44">
        <f>D188*Universal!power_rate</f>
        <v>0.77</v>
      </c>
      <c r="E194" s="44">
        <f>E188*Universal!power_rate</f>
        <v>1.375</v>
      </c>
      <c r="F194" s="44">
        <f>F188*Universal!power_rate</f>
        <v>2.2</v>
      </c>
      <c r="G194" s="44">
        <f>G188*Universal!power_rate</f>
        <v>2.6576</v>
      </c>
      <c r="H194" s="44">
        <f>H188*Universal!power_rate</f>
        <v>3.3913</v>
      </c>
      <c r="I194" s="44">
        <f>I188*Universal!power_rate</f>
        <v>3.7576</v>
      </c>
      <c r="J194" s="44">
        <f>J188*Universal!power_rate</f>
        <v>4.125</v>
      </c>
      <c r="K194" s="44">
        <f>K188*Universal!power_rate</f>
        <v>0.495</v>
      </c>
      <c r="L194" s="44">
        <f>L188*Universal!power_rate</f>
        <v>6.6</v>
      </c>
      <c r="M194" s="44">
        <f>M188*Universal!power_rate</f>
        <v>8.8</v>
      </c>
      <c r="N194" s="44">
        <f>N188*Universal!power_rate</f>
        <v>11</v>
      </c>
      <c r="O194" s="44">
        <f>O188*Universal!power_rate</f>
        <v>13.2</v>
      </c>
      <c r="P194" s="44">
        <v>11.1</v>
      </c>
      <c r="Q194" s="44">
        <v>11.1</v>
      </c>
      <c r="R194" s="11"/>
      <c r="S194" s="63" t="s">
        <v>152</v>
      </c>
      <c r="T194" s="55"/>
      <c r="V194" s="63" t="s">
        <v>152</v>
      </c>
      <c r="W194" s="55"/>
    </row>
    <row r="195" ht="14.25" customHeight="1">
      <c r="B195" s="10" t="s">
        <v>196</v>
      </c>
      <c r="C195" s="44">
        <v>0.0</v>
      </c>
      <c r="D195" s="10">
        <v>2.6</v>
      </c>
      <c r="E195" s="44">
        <v>26.08737531572413</v>
      </c>
      <c r="F195" s="44">
        <v>39.1310629735862</v>
      </c>
      <c r="G195" s="44">
        <v>43.478958859540214</v>
      </c>
      <c r="H195" s="44">
        <v>65.21843828931033</v>
      </c>
      <c r="I195" s="44">
        <v>103.262527291408</v>
      </c>
      <c r="J195" s="44">
        <v>135.87174643606318</v>
      </c>
      <c r="K195" s="44"/>
      <c r="L195" s="44">
        <f>30000/Universal!$K$16</f>
        <v>13.51745915</v>
      </c>
      <c r="M195" s="44">
        <f>45000/Universal!$K$16</f>
        <v>20.27618873</v>
      </c>
      <c r="N195" s="44">
        <f>50000/Universal!$K$16</f>
        <v>22.52909858</v>
      </c>
      <c r="O195" s="44">
        <f>75000/Universal!$K$16</f>
        <v>33.79364788</v>
      </c>
      <c r="P195" s="44">
        <v>4.57</v>
      </c>
      <c r="Q195" s="44">
        <v>4.57</v>
      </c>
      <c r="R195" s="11"/>
      <c r="S195" s="63" t="s">
        <v>153</v>
      </c>
      <c r="T195" s="55"/>
      <c r="V195" s="63" t="s">
        <v>153</v>
      </c>
      <c r="W195" s="55"/>
    </row>
    <row r="196" ht="14.25" customHeight="1">
      <c r="B196" s="10" t="s">
        <v>197</v>
      </c>
      <c r="C196" s="44">
        <v>46.67</v>
      </c>
      <c r="D196" s="10">
        <v>60.0</v>
      </c>
      <c r="E196" s="44">
        <f t="shared" ref="E196:J196" si="51">E186*E195</f>
        <v>469.5727557</v>
      </c>
      <c r="F196" s="44">
        <f t="shared" si="51"/>
        <v>704.3591335</v>
      </c>
      <c r="G196" s="44">
        <f t="shared" si="51"/>
        <v>782.6212595</v>
      </c>
      <c r="H196" s="44">
        <f t="shared" si="51"/>
        <v>1173.931889</v>
      </c>
      <c r="I196" s="44">
        <f t="shared" si="51"/>
        <v>1858.725491</v>
      </c>
      <c r="J196" s="44">
        <f t="shared" si="51"/>
        <v>2445.691436</v>
      </c>
      <c r="K196" s="44"/>
      <c r="L196" s="44">
        <f>30000/Universal!$K$14</f>
        <v>322.5806452</v>
      </c>
      <c r="M196" s="44">
        <f>45000/Universal!$K$14</f>
        <v>483.8709677</v>
      </c>
      <c r="N196" s="44">
        <f>50000/Universal!$K$14</f>
        <v>537.6344086</v>
      </c>
      <c r="O196" s="44">
        <f>75000/Universal!$K$14</f>
        <v>806.4516129</v>
      </c>
      <c r="P196" s="44">
        <v>0.0</v>
      </c>
      <c r="Q196" s="44">
        <v>0.0</v>
      </c>
      <c r="S196" s="63" t="s">
        <v>154</v>
      </c>
      <c r="T196" s="55"/>
      <c r="V196" s="63" t="s">
        <v>154</v>
      </c>
      <c r="W196" s="55"/>
    </row>
    <row r="197" ht="14.25" customHeight="1">
      <c r="B197" s="10" t="s">
        <v>198</v>
      </c>
      <c r="C197" s="44">
        <v>124.5</v>
      </c>
      <c r="E197" s="44"/>
      <c r="F197" s="44"/>
      <c r="G197" s="44"/>
      <c r="H197" s="44"/>
      <c r="I197" s="44"/>
      <c r="J197" s="44"/>
      <c r="K197" s="44"/>
      <c r="L197" s="44">
        <v>0.0</v>
      </c>
      <c r="M197" s="44">
        <v>0.0</v>
      </c>
      <c r="N197" s="44">
        <v>0.0</v>
      </c>
      <c r="O197" s="44">
        <v>0.0</v>
      </c>
      <c r="P197" s="44">
        <v>0.0</v>
      </c>
      <c r="Q197" s="44">
        <v>0.0</v>
      </c>
      <c r="S197" s="63" t="s">
        <v>155</v>
      </c>
      <c r="T197" s="55"/>
      <c r="V197" s="63" t="s">
        <v>155</v>
      </c>
      <c r="W197" s="55"/>
    </row>
    <row r="198" ht="14.25" customHeight="1">
      <c r="B198" s="10" t="s">
        <v>199</v>
      </c>
      <c r="C198" s="44">
        <f>(680+80)/50</f>
        <v>15.2</v>
      </c>
      <c r="D198" s="44">
        <f>D196/(Universal!$G$6*Universal!$K$9)</f>
        <v>0.001912950192</v>
      </c>
      <c r="E198" s="44">
        <f>E196/(Universal!$G$6*Universal!$K$9)</f>
        <v>0.01497115489</v>
      </c>
      <c r="F198" s="44">
        <f>F196/(Universal!$G$6*Universal!$K$9)</f>
        <v>0.02245673233</v>
      </c>
      <c r="G198" s="44">
        <f>G196/(Universal!$G$6*Universal!$K$9)</f>
        <v>0.02495192481</v>
      </c>
      <c r="H198" s="44">
        <f>H196/(Universal!$G$6*Universal!$K$9)</f>
        <v>0.03742788722</v>
      </c>
      <c r="I198" s="44">
        <f>I196/(Universal!$G$6*Universal!$K$9)</f>
        <v>0.05926082144</v>
      </c>
      <c r="J198" s="44">
        <f>J196/(Universal!$G$6*Universal!$K$9)</f>
        <v>0.07797476505</v>
      </c>
      <c r="K198" s="44">
        <f>K196/(Universal!$G$6*Universal!$K$9)</f>
        <v>0</v>
      </c>
      <c r="L198" s="44">
        <f>L196/(Universal!$G$6*Universal!$K$9)</f>
        <v>0.01028467845</v>
      </c>
      <c r="M198" s="44">
        <f>M196/(Universal!$G$6*Universal!$K$9)</f>
        <v>0.01542701768</v>
      </c>
      <c r="N198" s="44">
        <f>N196/(Universal!$G$6*Universal!$K$9)</f>
        <v>0.01714113076</v>
      </c>
      <c r="O198" s="44">
        <f>O196/(Universal!$G$6*Universal!$K$9)</f>
        <v>0.02571169613</v>
      </c>
      <c r="P198" s="44">
        <v>0.0</v>
      </c>
      <c r="Q198" s="44">
        <v>0.0</v>
      </c>
      <c r="S198" s="63" t="s">
        <v>157</v>
      </c>
      <c r="T198" s="55"/>
      <c r="V198" s="63" t="s">
        <v>157</v>
      </c>
      <c r="W198" s="55"/>
    </row>
    <row r="199" ht="14.25" customHeight="1"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R199" s="11"/>
    </row>
    <row r="200" ht="14.25" hidden="1" customHeight="1" outlineLevel="1">
      <c r="C200" s="52">
        <v>2.0</v>
      </c>
      <c r="D200" s="52">
        <v>4.0</v>
      </c>
      <c r="E200" s="52">
        <v>6.0</v>
      </c>
      <c r="F200" s="52"/>
      <c r="G200" s="52"/>
      <c r="H200" s="52"/>
      <c r="I200" s="52"/>
      <c r="J200" s="52"/>
      <c r="K200" s="52"/>
      <c r="L200" s="52">
        <v>12.0</v>
      </c>
      <c r="P200" s="11"/>
    </row>
    <row r="201" ht="14.25" hidden="1" customHeight="1" outlineLevel="1">
      <c r="A201" s="10" t="s">
        <v>45</v>
      </c>
      <c r="B201" s="14" t="s">
        <v>200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P201" s="11"/>
    </row>
    <row r="202" ht="14.25" hidden="1" customHeight="1" outlineLevel="1">
      <c r="B202" s="10" t="s">
        <v>201</v>
      </c>
      <c r="C202" s="18">
        <v>305.0</v>
      </c>
      <c r="D202" s="18">
        <v>420.0</v>
      </c>
      <c r="E202" s="18">
        <v>420.0</v>
      </c>
      <c r="F202" s="18"/>
      <c r="G202" s="18"/>
      <c r="H202" s="18"/>
      <c r="I202" s="18"/>
      <c r="J202" s="18"/>
      <c r="K202" s="18"/>
      <c r="L202" s="18">
        <v>420.0</v>
      </c>
      <c r="M202" s="11" t="s">
        <v>55</v>
      </c>
      <c r="P202" s="11"/>
    </row>
    <row r="203" ht="14.25" hidden="1" customHeight="1" outlineLevel="1">
      <c r="B203" s="10" t="s">
        <v>202</v>
      </c>
      <c r="C203" s="18">
        <v>610.0</v>
      </c>
      <c r="D203" s="18">
        <v>610.0</v>
      </c>
      <c r="E203" s="18">
        <v>915.0</v>
      </c>
      <c r="F203" s="18"/>
      <c r="G203" s="18"/>
      <c r="H203" s="18"/>
      <c r="I203" s="18"/>
      <c r="J203" s="18"/>
      <c r="K203" s="18"/>
      <c r="L203" s="18">
        <v>1524.0</v>
      </c>
      <c r="M203" s="11" t="s">
        <v>55</v>
      </c>
      <c r="P203" s="11"/>
    </row>
    <row r="204" ht="14.25" hidden="1" customHeight="1" outlineLevel="1">
      <c r="B204" s="10" t="s">
        <v>203</v>
      </c>
      <c r="C204" s="18">
        <v>305.0</v>
      </c>
      <c r="D204" s="18">
        <v>460.0</v>
      </c>
      <c r="E204" s="18">
        <v>460.0</v>
      </c>
      <c r="F204" s="18"/>
      <c r="G204" s="18"/>
      <c r="H204" s="18"/>
      <c r="I204" s="18"/>
      <c r="J204" s="18"/>
      <c r="K204" s="18"/>
      <c r="L204" s="18">
        <v>460.0</v>
      </c>
      <c r="M204" s="11" t="s">
        <v>55</v>
      </c>
      <c r="P204" s="11"/>
    </row>
    <row r="205" ht="14.25" hidden="1" customHeight="1" outlineLevel="1">
      <c r="B205" s="10" t="s">
        <v>204</v>
      </c>
      <c r="C205" s="18">
        <v>11.0</v>
      </c>
      <c r="D205" s="18">
        <v>11.0</v>
      </c>
      <c r="E205" s="18">
        <v>11.0</v>
      </c>
      <c r="F205" s="18"/>
      <c r="G205" s="18"/>
      <c r="H205" s="18"/>
      <c r="I205" s="18"/>
      <c r="J205" s="18"/>
      <c r="K205" s="18"/>
      <c r="L205" s="18">
        <v>11.0</v>
      </c>
      <c r="M205" s="11"/>
      <c r="P205" s="11"/>
    </row>
    <row r="206" ht="14.25" hidden="1" customHeight="1" outlineLevel="1">
      <c r="B206" s="10" t="s">
        <v>205</v>
      </c>
      <c r="C206" s="18">
        <v>6.0</v>
      </c>
      <c r="D206" s="18">
        <v>6.0</v>
      </c>
      <c r="E206" s="18">
        <v>6.0</v>
      </c>
      <c r="F206" s="18"/>
      <c r="G206" s="18"/>
      <c r="H206" s="18"/>
      <c r="I206" s="18"/>
      <c r="J206" s="18"/>
      <c r="K206" s="18"/>
      <c r="L206" s="18">
        <v>6.0</v>
      </c>
      <c r="M206" s="11" t="s">
        <v>81</v>
      </c>
      <c r="P206" s="11"/>
    </row>
    <row r="207" ht="14.25" hidden="1" customHeight="1" outlineLevel="1">
      <c r="B207" s="10" t="s">
        <v>206</v>
      </c>
      <c r="C207" s="18">
        <v>660.0</v>
      </c>
      <c r="D207" s="18">
        <v>1300.0</v>
      </c>
      <c r="E207" s="18">
        <v>1700.0</v>
      </c>
      <c r="F207" s="18"/>
      <c r="G207" s="18"/>
      <c r="H207" s="18"/>
      <c r="I207" s="18"/>
      <c r="J207" s="18"/>
      <c r="K207" s="18"/>
      <c r="L207" s="18">
        <v>2800.0</v>
      </c>
      <c r="M207" s="11" t="s">
        <v>188</v>
      </c>
      <c r="P207" s="11"/>
    </row>
    <row r="208" ht="14.25" hidden="1" customHeight="1" outlineLevel="1">
      <c r="B208" s="10" t="s">
        <v>207</v>
      </c>
      <c r="C208" s="18">
        <v>60.0</v>
      </c>
      <c r="D208" s="18">
        <v>80.0</v>
      </c>
      <c r="E208" s="18">
        <v>100.0</v>
      </c>
      <c r="F208" s="18"/>
      <c r="G208" s="18"/>
      <c r="H208" s="18"/>
      <c r="I208" s="18"/>
      <c r="J208" s="18"/>
      <c r="K208" s="18"/>
      <c r="L208" s="18">
        <v>120.0</v>
      </c>
      <c r="M208" s="11" t="s">
        <v>112</v>
      </c>
      <c r="P208" s="11"/>
    </row>
    <row r="209" ht="14.25" hidden="1" customHeight="1" outlineLevel="1">
      <c r="B209" s="10" t="s">
        <v>208</v>
      </c>
      <c r="C209" s="24">
        <v>2.6</v>
      </c>
      <c r="D209" s="24">
        <v>2.6</v>
      </c>
      <c r="E209" s="24">
        <v>2.6</v>
      </c>
      <c r="F209" s="24"/>
      <c r="G209" s="24"/>
      <c r="H209" s="24"/>
      <c r="I209" s="24"/>
      <c r="J209" s="24"/>
      <c r="K209" s="24"/>
      <c r="L209" s="24">
        <v>2.6</v>
      </c>
      <c r="M209" s="11" t="s">
        <v>55</v>
      </c>
      <c r="P209" s="11"/>
    </row>
    <row r="210" ht="14.25" hidden="1" customHeight="1" outlineLevel="1">
      <c r="B210" s="10" t="s">
        <v>209</v>
      </c>
      <c r="C210" s="24">
        <v>5.0</v>
      </c>
      <c r="D210" s="24">
        <v>5.0</v>
      </c>
      <c r="E210" s="24">
        <v>5.0</v>
      </c>
      <c r="F210" s="24"/>
      <c r="G210" s="24"/>
      <c r="H210" s="24"/>
      <c r="I210" s="24"/>
      <c r="J210" s="24"/>
      <c r="K210" s="24"/>
      <c r="L210" s="24">
        <v>5.0</v>
      </c>
      <c r="M210" s="11" t="s">
        <v>55</v>
      </c>
      <c r="P210" s="11"/>
    </row>
    <row r="211" ht="14.25" hidden="1" customHeight="1" outlineLevel="1">
      <c r="B211" s="10" t="s">
        <v>210</v>
      </c>
      <c r="C211" s="24">
        <v>2.0</v>
      </c>
      <c r="D211" s="24">
        <v>2.0</v>
      </c>
      <c r="E211" s="24">
        <v>2.0</v>
      </c>
      <c r="F211" s="24"/>
      <c r="G211" s="24"/>
      <c r="H211" s="24"/>
      <c r="I211" s="24"/>
      <c r="J211" s="24"/>
      <c r="K211" s="24"/>
      <c r="L211" s="24">
        <v>2.0</v>
      </c>
      <c r="M211" s="11" t="s">
        <v>55</v>
      </c>
      <c r="P211" s="11"/>
    </row>
    <row r="212" ht="14.25" hidden="1" customHeight="1" outlineLevel="1">
      <c r="B212" s="10" t="s">
        <v>211</v>
      </c>
      <c r="C212" s="43">
        <v>100000.0</v>
      </c>
      <c r="D212" s="43">
        <v>150000.0</v>
      </c>
      <c r="E212" s="43">
        <v>200000.0</v>
      </c>
      <c r="F212" s="43"/>
      <c r="G212" s="43"/>
      <c r="H212" s="43"/>
      <c r="I212" s="43"/>
      <c r="J212" s="43"/>
      <c r="K212" s="43"/>
      <c r="L212" s="43">
        <v>300000.0</v>
      </c>
      <c r="P212" s="11"/>
    </row>
    <row r="213" ht="14.25" hidden="1" customHeight="1" outlineLevel="1">
      <c r="B213" s="10" t="s">
        <v>212</v>
      </c>
      <c r="C213" s="24">
        <v>4.0</v>
      </c>
      <c r="D213" s="24">
        <v>4.0</v>
      </c>
      <c r="E213" s="24">
        <v>5.0</v>
      </c>
      <c r="F213" s="24"/>
      <c r="G213" s="24"/>
      <c r="H213" s="24"/>
      <c r="I213" s="24"/>
      <c r="J213" s="24"/>
      <c r="K213" s="24"/>
      <c r="L213" s="24">
        <v>10.0</v>
      </c>
      <c r="M213" s="11" t="s">
        <v>106</v>
      </c>
      <c r="P213" s="11"/>
    </row>
    <row r="214" ht="14.25" hidden="1" customHeight="1" outlineLevel="1">
      <c r="B214" s="10" t="s">
        <v>213</v>
      </c>
      <c r="C214" s="44">
        <v>0.0</v>
      </c>
      <c r="D214" s="44">
        <v>0.0</v>
      </c>
      <c r="E214" s="44">
        <v>0.0</v>
      </c>
      <c r="F214" s="44"/>
      <c r="G214" s="44"/>
      <c r="H214" s="44"/>
      <c r="I214" s="44"/>
      <c r="J214" s="44"/>
      <c r="K214" s="44"/>
      <c r="L214" s="44">
        <v>0.0</v>
      </c>
      <c r="M214" s="11"/>
      <c r="P214" s="11"/>
    </row>
    <row r="215" ht="14.25" hidden="1" customHeight="1" outlineLevel="1">
      <c r="B215" s="10" t="s">
        <v>214</v>
      </c>
      <c r="C215" s="44">
        <v>0.0</v>
      </c>
      <c r="D215" s="44">
        <v>0.0</v>
      </c>
      <c r="E215" s="44">
        <v>0.0</v>
      </c>
      <c r="F215" s="44"/>
      <c r="G215" s="44"/>
      <c r="H215" s="44"/>
      <c r="I215" s="44"/>
      <c r="J215" s="44"/>
      <c r="K215" s="44"/>
      <c r="L215" s="44">
        <v>0.0</v>
      </c>
      <c r="M215" s="11"/>
      <c r="P215" s="11"/>
    </row>
    <row r="216" ht="14.25" customHeight="1" collapsed="1">
      <c r="R216" s="11"/>
    </row>
    <row r="217" ht="14.25" customHeight="1">
      <c r="R217" s="11"/>
    </row>
    <row r="218" ht="14.25" customHeight="1">
      <c r="R218" s="11"/>
    </row>
    <row r="219" ht="14.25" customHeight="1">
      <c r="R219" s="11"/>
    </row>
    <row r="220" ht="14.25" customHeight="1">
      <c r="R220" s="11"/>
    </row>
    <row r="221" ht="14.25" customHeight="1">
      <c r="R221" s="11"/>
    </row>
    <row r="222" ht="14.25" customHeight="1">
      <c r="R222" s="11"/>
    </row>
    <row r="223" ht="14.25" customHeight="1">
      <c r="R223" s="11"/>
    </row>
    <row r="224" ht="14.25" customHeight="1">
      <c r="R224" s="11"/>
    </row>
    <row r="225" ht="14.25" customHeight="1">
      <c r="R225" s="11"/>
    </row>
    <row r="226" ht="14.25" customHeight="1">
      <c r="R226" s="11"/>
    </row>
    <row r="227" ht="14.25" customHeight="1">
      <c r="R227" s="11"/>
    </row>
    <row r="228" ht="14.25" customHeight="1">
      <c r="R228" s="11"/>
    </row>
    <row r="229" ht="14.25" customHeight="1">
      <c r="R229" s="11"/>
    </row>
    <row r="230" ht="14.25" customHeight="1">
      <c r="R230" s="11"/>
    </row>
    <row r="231" ht="14.25" customHeight="1">
      <c r="R231" s="11"/>
    </row>
    <row r="232" ht="14.25" customHeight="1">
      <c r="R232" s="11"/>
    </row>
    <row r="233" ht="14.25" customHeight="1">
      <c r="R233" s="11"/>
    </row>
    <row r="234" ht="14.25" customHeight="1">
      <c r="R234" s="11"/>
    </row>
    <row r="235" ht="14.25" customHeight="1">
      <c r="R235" s="11"/>
    </row>
    <row r="236" ht="14.25" customHeight="1">
      <c r="R236" s="11"/>
    </row>
    <row r="237" ht="14.25" customHeight="1">
      <c r="R237" s="11"/>
    </row>
    <row r="238" ht="14.25" customHeight="1">
      <c r="R238" s="11"/>
    </row>
    <row r="239" ht="14.25" customHeight="1">
      <c r="R239" s="11"/>
    </row>
    <row r="240" ht="14.25" customHeight="1">
      <c r="R240" s="11"/>
    </row>
    <row r="241" ht="14.25" customHeight="1">
      <c r="R241" s="11"/>
    </row>
    <row r="242" ht="14.25" customHeight="1">
      <c r="R242" s="11"/>
    </row>
    <row r="243" ht="14.25" customHeight="1">
      <c r="R243" s="11"/>
    </row>
    <row r="244" ht="14.25" customHeight="1">
      <c r="R244" s="11"/>
    </row>
    <row r="245" ht="14.25" customHeight="1">
      <c r="R245" s="11"/>
    </row>
    <row r="246" ht="14.25" customHeight="1">
      <c r="R246" s="11"/>
    </row>
    <row r="247" ht="14.25" customHeight="1">
      <c r="R247" s="11"/>
    </row>
    <row r="248" ht="14.25" customHeight="1">
      <c r="R248" s="11"/>
    </row>
    <row r="249" ht="14.25" customHeight="1">
      <c r="R249" s="11"/>
    </row>
    <row r="250" ht="14.25" customHeight="1">
      <c r="R250" s="11"/>
    </row>
    <row r="251" ht="14.25" customHeight="1">
      <c r="R251" s="11"/>
    </row>
    <row r="252" ht="14.25" customHeight="1">
      <c r="R252" s="11"/>
    </row>
    <row r="253" ht="14.25" customHeight="1">
      <c r="R253" s="11"/>
    </row>
    <row r="254" ht="14.25" customHeight="1">
      <c r="R254" s="11"/>
    </row>
    <row r="255" ht="14.25" customHeight="1">
      <c r="R255" s="11"/>
    </row>
    <row r="256" ht="14.25" customHeight="1">
      <c r="R256" s="11"/>
    </row>
    <row r="257" ht="14.25" customHeight="1">
      <c r="R257" s="11"/>
    </row>
    <row r="258" ht="14.25" customHeight="1">
      <c r="R258" s="11"/>
    </row>
    <row r="259" ht="14.25" customHeight="1">
      <c r="R259" s="11"/>
    </row>
    <row r="260" ht="14.25" customHeight="1">
      <c r="R260" s="11"/>
    </row>
    <row r="261" ht="14.25" customHeight="1">
      <c r="R261" s="11"/>
    </row>
    <row r="262" ht="14.25" customHeight="1">
      <c r="R262" s="11"/>
    </row>
    <row r="263" ht="14.25" customHeight="1">
      <c r="R263" s="11"/>
    </row>
    <row r="264" ht="14.25" customHeight="1">
      <c r="R264" s="11"/>
    </row>
    <row r="265" ht="14.25" customHeight="1">
      <c r="R265" s="11"/>
    </row>
    <row r="266" ht="14.25" customHeight="1">
      <c r="R266" s="11"/>
    </row>
    <row r="267" ht="14.25" customHeight="1">
      <c r="R267" s="11"/>
    </row>
    <row r="268" ht="14.25" customHeight="1">
      <c r="R268" s="11"/>
    </row>
    <row r="269" ht="14.25" customHeight="1">
      <c r="R269" s="11"/>
    </row>
    <row r="270" ht="14.25" customHeight="1">
      <c r="R270" s="11"/>
    </row>
    <row r="271" ht="14.25" customHeight="1">
      <c r="R271" s="11"/>
    </row>
    <row r="272" ht="14.25" customHeight="1">
      <c r="R272" s="11"/>
    </row>
    <row r="273" ht="14.25" customHeight="1">
      <c r="R273" s="11"/>
    </row>
    <row r="274" ht="14.25" customHeight="1">
      <c r="R274" s="11"/>
    </row>
    <row r="275" ht="14.25" customHeight="1">
      <c r="R275" s="11"/>
    </row>
    <row r="276" ht="14.25" customHeight="1">
      <c r="R276" s="11"/>
    </row>
    <row r="277" ht="14.25" customHeight="1">
      <c r="R277" s="11"/>
    </row>
    <row r="278" ht="14.25" customHeight="1">
      <c r="R278" s="11"/>
    </row>
    <row r="279" ht="14.25" customHeight="1">
      <c r="R279" s="11"/>
    </row>
    <row r="280" ht="14.25" customHeight="1">
      <c r="R280" s="11"/>
    </row>
    <row r="281" ht="14.25" customHeight="1">
      <c r="R281" s="11"/>
    </row>
    <row r="282" ht="14.25" customHeight="1">
      <c r="R282" s="11"/>
    </row>
    <row r="283" ht="14.25" customHeight="1">
      <c r="R283" s="11"/>
    </row>
    <row r="284" ht="14.25" customHeight="1">
      <c r="R284" s="11"/>
    </row>
    <row r="285" ht="14.25" customHeight="1">
      <c r="R285" s="11"/>
    </row>
    <row r="286" ht="14.25" customHeight="1">
      <c r="R286" s="11"/>
    </row>
    <row r="287" ht="14.25" customHeight="1">
      <c r="R287" s="11"/>
    </row>
    <row r="288" ht="14.25" customHeight="1">
      <c r="R288" s="11"/>
    </row>
    <row r="289" ht="14.25" customHeight="1">
      <c r="R289" s="11"/>
    </row>
    <row r="290" ht="14.25" customHeight="1">
      <c r="R290" s="11"/>
    </row>
    <row r="291" ht="14.25" customHeight="1">
      <c r="R291" s="11"/>
    </row>
    <row r="292" ht="14.25" customHeight="1">
      <c r="R292" s="11"/>
    </row>
    <row r="293" ht="14.25" customHeight="1">
      <c r="R293" s="11"/>
    </row>
    <row r="294" ht="14.25" customHeight="1">
      <c r="R294" s="11"/>
    </row>
    <row r="295" ht="14.25" customHeight="1">
      <c r="R295" s="11"/>
    </row>
    <row r="296" ht="14.25" customHeight="1">
      <c r="R296" s="11"/>
    </row>
    <row r="297" ht="14.25" customHeight="1">
      <c r="R297" s="11"/>
    </row>
    <row r="298" ht="14.25" customHeight="1">
      <c r="R298" s="11"/>
    </row>
    <row r="299" ht="14.25" customHeight="1">
      <c r="R299" s="11"/>
    </row>
    <row r="300" ht="14.25" customHeight="1">
      <c r="R300" s="11"/>
    </row>
    <row r="301" ht="14.25" customHeight="1">
      <c r="R301" s="11"/>
    </row>
    <row r="302" ht="14.25" customHeight="1">
      <c r="R302" s="11"/>
    </row>
    <row r="303" ht="14.25" customHeight="1">
      <c r="R303" s="11"/>
    </row>
    <row r="304" ht="14.25" customHeight="1">
      <c r="R304" s="11"/>
    </row>
    <row r="305" ht="14.25" customHeight="1">
      <c r="R305" s="11"/>
    </row>
    <row r="306" ht="14.25" customHeight="1">
      <c r="R306" s="11"/>
    </row>
    <row r="307" ht="14.25" customHeight="1">
      <c r="R307" s="11"/>
    </row>
    <row r="308" ht="14.25" customHeight="1">
      <c r="R308" s="11"/>
    </row>
    <row r="309" ht="14.25" customHeight="1">
      <c r="R309" s="11"/>
    </row>
    <row r="310" ht="14.25" customHeight="1">
      <c r="R310" s="11"/>
    </row>
    <row r="311" ht="14.25" customHeight="1">
      <c r="R311" s="11"/>
    </row>
    <row r="312" ht="14.25" customHeight="1">
      <c r="R312" s="11"/>
    </row>
    <row r="313" ht="14.25" customHeight="1">
      <c r="R313" s="11"/>
    </row>
    <row r="314" ht="14.25" customHeight="1">
      <c r="R314" s="11"/>
    </row>
    <row r="315" ht="14.25" customHeight="1">
      <c r="R315" s="11"/>
    </row>
    <row r="316" ht="14.25" customHeight="1">
      <c r="R316" s="11"/>
    </row>
    <row r="317" ht="14.25" customHeight="1">
      <c r="R317" s="11"/>
    </row>
    <row r="318" ht="14.25" customHeight="1">
      <c r="R318" s="11"/>
    </row>
    <row r="319" ht="14.25" customHeight="1">
      <c r="R319" s="11"/>
    </row>
    <row r="320" ht="14.25" customHeight="1">
      <c r="R320" s="11"/>
    </row>
    <row r="321" ht="14.25" customHeight="1">
      <c r="R321" s="11"/>
    </row>
    <row r="322" ht="14.25" customHeight="1">
      <c r="R322" s="11"/>
    </row>
    <row r="323" ht="14.25" customHeight="1">
      <c r="R323" s="11"/>
    </row>
    <row r="324" ht="14.25" customHeight="1">
      <c r="R324" s="11"/>
    </row>
    <row r="325" ht="14.25" customHeight="1">
      <c r="R325" s="11"/>
    </row>
    <row r="326" ht="14.25" customHeight="1">
      <c r="R326" s="11"/>
    </row>
    <row r="327" ht="14.25" customHeight="1">
      <c r="R327" s="11"/>
    </row>
    <row r="328" ht="14.25" customHeight="1">
      <c r="R328" s="11"/>
    </row>
    <row r="329" ht="14.25" customHeight="1">
      <c r="R329" s="11"/>
    </row>
    <row r="330" ht="14.25" customHeight="1">
      <c r="R330" s="11"/>
    </row>
    <row r="331" ht="14.25" customHeight="1">
      <c r="R331" s="11"/>
    </row>
    <row r="332" ht="14.25" customHeight="1">
      <c r="R332" s="11"/>
    </row>
    <row r="333" ht="14.25" customHeight="1">
      <c r="R333" s="11"/>
    </row>
    <row r="334" ht="14.25" customHeight="1">
      <c r="R334" s="11"/>
    </row>
    <row r="335" ht="14.25" customHeight="1">
      <c r="R335" s="11"/>
    </row>
    <row r="336" ht="14.25" customHeight="1">
      <c r="R336" s="11"/>
    </row>
    <row r="337" ht="14.25" customHeight="1">
      <c r="R337" s="11"/>
    </row>
    <row r="338" ht="14.25" customHeight="1">
      <c r="R338" s="11"/>
    </row>
    <row r="339" ht="14.25" customHeight="1">
      <c r="R339" s="11"/>
    </row>
    <row r="340" ht="14.25" customHeight="1">
      <c r="R340" s="11"/>
    </row>
    <row r="341" ht="14.25" customHeight="1">
      <c r="R341" s="11"/>
    </row>
    <row r="342" ht="14.25" customHeight="1">
      <c r="R342" s="11"/>
    </row>
    <row r="343" ht="14.25" customHeight="1">
      <c r="R343" s="11"/>
    </row>
    <row r="344" ht="14.25" customHeight="1">
      <c r="R344" s="11"/>
    </row>
    <row r="345" ht="14.25" customHeight="1">
      <c r="R345" s="11"/>
    </row>
    <row r="346" ht="14.25" customHeight="1">
      <c r="R346" s="11"/>
    </row>
    <row r="347" ht="14.25" customHeight="1">
      <c r="R347" s="11"/>
    </row>
    <row r="348" ht="14.25" customHeight="1">
      <c r="R348" s="11"/>
    </row>
    <row r="349" ht="14.25" customHeight="1">
      <c r="R349" s="11"/>
    </row>
    <row r="350" ht="14.25" customHeight="1">
      <c r="R350" s="11"/>
    </row>
    <row r="351" ht="14.25" customHeight="1">
      <c r="R351" s="11"/>
    </row>
    <row r="352" ht="14.25" customHeight="1">
      <c r="R352" s="11"/>
    </row>
    <row r="353" ht="14.25" customHeight="1">
      <c r="R353" s="11"/>
    </row>
    <row r="354" ht="14.25" customHeight="1">
      <c r="R354" s="11"/>
    </row>
    <row r="355" ht="14.25" customHeight="1">
      <c r="R355" s="11"/>
    </row>
    <row r="356" ht="14.25" customHeight="1">
      <c r="R356" s="11"/>
    </row>
    <row r="357" ht="14.25" customHeight="1">
      <c r="R357" s="11"/>
    </row>
    <row r="358" ht="14.25" customHeight="1">
      <c r="R358" s="11"/>
    </row>
    <row r="359" ht="14.25" customHeight="1">
      <c r="R359" s="11"/>
    </row>
    <row r="360" ht="14.25" customHeight="1">
      <c r="R360" s="11"/>
    </row>
    <row r="361" ht="14.25" customHeight="1">
      <c r="R361" s="11"/>
    </row>
    <row r="362" ht="14.25" customHeight="1">
      <c r="R362" s="11"/>
    </row>
    <row r="363" ht="14.25" customHeight="1">
      <c r="R363" s="11"/>
    </row>
    <row r="364" ht="14.25" customHeight="1">
      <c r="R364" s="11"/>
    </row>
    <row r="365" ht="14.25" customHeight="1">
      <c r="R365" s="11"/>
    </row>
    <row r="366" ht="14.25" customHeight="1">
      <c r="R366" s="11"/>
    </row>
    <row r="367" ht="14.25" customHeight="1">
      <c r="R367" s="11"/>
    </row>
    <row r="368" ht="14.25" customHeight="1">
      <c r="R368" s="11"/>
    </row>
    <row r="369" ht="14.25" customHeight="1">
      <c r="R369" s="11"/>
    </row>
    <row r="370" ht="14.25" customHeight="1">
      <c r="R370" s="11"/>
    </row>
    <row r="371" ht="14.25" customHeight="1">
      <c r="R371" s="11"/>
    </row>
    <row r="372" ht="14.25" customHeight="1">
      <c r="R372" s="11"/>
    </row>
    <row r="373" ht="14.25" customHeight="1">
      <c r="R373" s="11"/>
    </row>
    <row r="374" ht="14.25" customHeight="1">
      <c r="R374" s="11"/>
    </row>
    <row r="375" ht="14.25" customHeight="1">
      <c r="R375" s="11"/>
    </row>
    <row r="376" ht="14.25" customHeight="1">
      <c r="R376" s="11"/>
    </row>
    <row r="377" ht="14.25" customHeight="1">
      <c r="R377" s="11"/>
    </row>
    <row r="378" ht="14.25" customHeight="1">
      <c r="R378" s="11"/>
    </row>
    <row r="379" ht="14.25" customHeight="1">
      <c r="R379" s="11"/>
    </row>
    <row r="380" ht="14.25" customHeight="1">
      <c r="R380" s="11"/>
    </row>
    <row r="381" ht="14.25" customHeight="1">
      <c r="R381" s="11"/>
    </row>
    <row r="382" ht="14.25" customHeight="1">
      <c r="R382" s="11"/>
    </row>
    <row r="383" ht="14.25" customHeight="1">
      <c r="R383" s="11"/>
    </row>
    <row r="384" ht="14.25" customHeight="1">
      <c r="R384" s="11"/>
    </row>
    <row r="385" ht="14.25" customHeight="1">
      <c r="R385" s="11"/>
    </row>
    <row r="386" ht="14.25" customHeight="1">
      <c r="R386" s="11"/>
    </row>
    <row r="387" ht="14.25" customHeight="1">
      <c r="R387" s="11"/>
    </row>
    <row r="388" ht="14.25" customHeight="1">
      <c r="R388" s="11"/>
    </row>
    <row r="389" ht="14.25" customHeight="1">
      <c r="R389" s="11"/>
    </row>
    <row r="390" ht="14.25" customHeight="1">
      <c r="R390" s="11"/>
    </row>
    <row r="391" ht="14.25" customHeight="1">
      <c r="R391" s="11"/>
    </row>
    <row r="392" ht="14.25" customHeight="1">
      <c r="R392" s="11"/>
    </row>
    <row r="393" ht="14.25" customHeight="1">
      <c r="R393" s="11"/>
    </row>
    <row r="394" ht="14.25" customHeight="1">
      <c r="R394" s="11"/>
    </row>
    <row r="395" ht="14.25" customHeight="1">
      <c r="R395" s="11"/>
    </row>
    <row r="396" ht="14.25" customHeight="1">
      <c r="R396" s="11"/>
    </row>
    <row r="397" ht="14.25" customHeight="1">
      <c r="R397" s="11"/>
    </row>
    <row r="398" ht="14.25" customHeight="1">
      <c r="R398" s="11"/>
    </row>
    <row r="399" ht="14.25" customHeight="1">
      <c r="R399" s="11"/>
    </row>
    <row r="400" ht="14.25" customHeight="1">
      <c r="R400" s="11"/>
    </row>
    <row r="401" ht="14.25" customHeight="1">
      <c r="R401" s="11"/>
    </row>
    <row r="402" ht="14.25" customHeight="1">
      <c r="R402" s="11"/>
    </row>
    <row r="403" ht="14.25" customHeight="1">
      <c r="R403" s="11"/>
    </row>
    <row r="404" ht="14.25" customHeight="1">
      <c r="R404" s="11"/>
    </row>
    <row r="405" ht="14.25" customHeight="1">
      <c r="R405" s="11"/>
    </row>
    <row r="406" ht="14.25" customHeight="1">
      <c r="R406" s="11"/>
    </row>
    <row r="407" ht="14.25" customHeight="1">
      <c r="R407" s="11"/>
    </row>
    <row r="408" ht="14.25" customHeight="1">
      <c r="R408" s="11"/>
    </row>
    <row r="409" ht="14.25" customHeight="1">
      <c r="R409" s="11"/>
    </row>
    <row r="410" ht="14.25" customHeight="1">
      <c r="R410" s="11"/>
    </row>
    <row r="411" ht="14.25" customHeight="1">
      <c r="R411" s="11"/>
    </row>
    <row r="412" ht="14.25" customHeight="1">
      <c r="R412" s="11"/>
    </row>
    <row r="413" ht="14.25" customHeight="1">
      <c r="R413" s="11"/>
    </row>
    <row r="414" ht="14.25" customHeight="1">
      <c r="R414" s="11"/>
    </row>
    <row r="415" ht="14.25" customHeight="1">
      <c r="R415" s="11"/>
    </row>
    <row r="416" ht="14.25" customHeight="1">
      <c r="R416" s="11"/>
    </row>
    <row r="417" ht="14.25" customHeight="1">
      <c r="R417" s="11"/>
    </row>
    <row r="418" ht="14.25" customHeight="1">
      <c r="R418" s="11"/>
    </row>
    <row r="419" ht="14.25" customHeight="1">
      <c r="R419" s="11"/>
    </row>
    <row r="420" ht="14.25" customHeight="1">
      <c r="R420" s="11"/>
    </row>
    <row r="421" ht="14.25" customHeight="1">
      <c r="R421" s="11"/>
    </row>
    <row r="422" ht="14.25" customHeight="1">
      <c r="R422" s="11"/>
    </row>
    <row r="423" ht="14.25" customHeight="1">
      <c r="R423" s="11"/>
    </row>
    <row r="424" ht="14.25" customHeight="1">
      <c r="R424" s="11"/>
    </row>
    <row r="425" ht="14.25" customHeight="1">
      <c r="R425" s="11"/>
    </row>
    <row r="426" ht="14.25" customHeight="1">
      <c r="R426" s="11"/>
    </row>
    <row r="427" ht="14.25" customHeight="1">
      <c r="R427" s="11"/>
    </row>
    <row r="428" ht="14.25" customHeight="1">
      <c r="R428" s="11"/>
    </row>
    <row r="429" ht="14.25" customHeight="1">
      <c r="R429" s="11"/>
    </row>
    <row r="430" ht="14.25" customHeight="1">
      <c r="R430" s="11"/>
    </row>
    <row r="431" ht="14.25" customHeight="1">
      <c r="R431" s="11"/>
    </row>
    <row r="432" ht="14.25" customHeight="1">
      <c r="R432" s="11"/>
    </row>
    <row r="433" ht="14.25" customHeight="1">
      <c r="R433" s="11"/>
    </row>
    <row r="434" ht="14.25" customHeight="1">
      <c r="R434" s="11"/>
    </row>
    <row r="435" ht="14.25" customHeight="1">
      <c r="R435" s="11"/>
    </row>
    <row r="436" ht="14.25" customHeight="1">
      <c r="R436" s="11"/>
    </row>
    <row r="437" ht="14.25" customHeight="1">
      <c r="R437" s="11"/>
    </row>
    <row r="438" ht="14.25" customHeight="1">
      <c r="R438" s="11"/>
    </row>
    <row r="439" ht="14.25" customHeight="1">
      <c r="R439" s="11"/>
    </row>
    <row r="440" ht="14.25" customHeight="1">
      <c r="R440" s="11"/>
    </row>
    <row r="441" ht="14.25" customHeight="1">
      <c r="R441" s="11"/>
    </row>
    <row r="442" ht="14.25" customHeight="1">
      <c r="R442" s="11"/>
    </row>
    <row r="443" ht="14.25" customHeight="1">
      <c r="R443" s="11"/>
    </row>
    <row r="444" ht="14.25" customHeight="1">
      <c r="R444" s="11"/>
    </row>
    <row r="445" ht="14.25" customHeight="1">
      <c r="R445" s="11"/>
    </row>
    <row r="446" ht="14.25" customHeight="1">
      <c r="R446" s="11"/>
    </row>
    <row r="447" ht="14.25" customHeight="1">
      <c r="R447" s="11"/>
    </row>
    <row r="448" ht="14.25" customHeight="1">
      <c r="R448" s="11"/>
    </row>
    <row r="449" ht="14.25" customHeight="1">
      <c r="R449" s="11"/>
    </row>
    <row r="450" ht="14.25" customHeight="1">
      <c r="R450" s="11"/>
    </row>
    <row r="451" ht="14.25" customHeight="1">
      <c r="R451" s="11"/>
    </row>
    <row r="452" ht="14.25" customHeight="1">
      <c r="R452" s="11"/>
    </row>
    <row r="453" ht="14.25" customHeight="1">
      <c r="R453" s="11"/>
    </row>
    <row r="454" ht="14.25" customHeight="1">
      <c r="R454" s="11"/>
    </row>
    <row r="455" ht="14.25" customHeight="1">
      <c r="R455" s="11"/>
    </row>
    <row r="456" ht="14.25" customHeight="1">
      <c r="R456" s="11"/>
    </row>
    <row r="457" ht="14.25" customHeight="1">
      <c r="R457" s="11"/>
    </row>
    <row r="458" ht="14.25" customHeight="1">
      <c r="R458" s="11"/>
    </row>
    <row r="459" ht="14.25" customHeight="1">
      <c r="R459" s="11"/>
    </row>
    <row r="460" ht="14.25" customHeight="1">
      <c r="R460" s="11"/>
    </row>
    <row r="461" ht="14.25" customHeight="1">
      <c r="R461" s="11"/>
    </row>
    <row r="462" ht="14.25" customHeight="1">
      <c r="R462" s="11"/>
    </row>
    <row r="463" ht="14.25" customHeight="1">
      <c r="R463" s="11"/>
    </row>
    <row r="464" ht="14.25" customHeight="1">
      <c r="R464" s="11"/>
    </row>
    <row r="465" ht="14.25" customHeight="1">
      <c r="R465" s="11"/>
    </row>
    <row r="466" ht="14.25" customHeight="1">
      <c r="R466" s="11"/>
    </row>
    <row r="467" ht="14.25" customHeight="1">
      <c r="R467" s="11"/>
    </row>
    <row r="468" ht="14.25" customHeight="1">
      <c r="R468" s="11"/>
    </row>
    <row r="469" ht="14.25" customHeight="1">
      <c r="R469" s="11"/>
    </row>
    <row r="470" ht="14.25" customHeight="1">
      <c r="R470" s="11"/>
    </row>
    <row r="471" ht="14.25" customHeight="1">
      <c r="R471" s="11"/>
    </row>
    <row r="472" ht="14.25" customHeight="1">
      <c r="R472" s="11"/>
    </row>
    <row r="473" ht="14.25" customHeight="1">
      <c r="R473" s="11"/>
    </row>
    <row r="474" ht="14.25" customHeight="1">
      <c r="R474" s="11"/>
    </row>
    <row r="475" ht="14.25" customHeight="1">
      <c r="R475" s="11"/>
    </row>
    <row r="476" ht="14.25" customHeight="1">
      <c r="R476" s="11"/>
    </row>
    <row r="477" ht="14.25" customHeight="1">
      <c r="R477" s="11"/>
    </row>
    <row r="478" ht="14.25" customHeight="1">
      <c r="R478" s="11"/>
    </row>
    <row r="479" ht="14.25" customHeight="1">
      <c r="R479" s="11"/>
    </row>
    <row r="480" ht="14.25" customHeight="1">
      <c r="R480" s="11"/>
    </row>
    <row r="481" ht="14.25" customHeight="1">
      <c r="R481" s="11"/>
    </row>
    <row r="482" ht="14.25" customHeight="1">
      <c r="R482" s="11"/>
    </row>
    <row r="483" ht="14.25" customHeight="1">
      <c r="R483" s="11"/>
    </row>
    <row r="484" ht="14.25" customHeight="1">
      <c r="R484" s="11"/>
    </row>
    <row r="485" ht="14.25" customHeight="1">
      <c r="R485" s="11"/>
    </row>
    <row r="486" ht="14.25" customHeight="1">
      <c r="R486" s="11"/>
    </row>
    <row r="487" ht="14.25" customHeight="1">
      <c r="R487" s="11"/>
    </row>
    <row r="488" ht="14.25" customHeight="1">
      <c r="R488" s="11"/>
    </row>
    <row r="489" ht="14.25" customHeight="1">
      <c r="R489" s="11"/>
    </row>
    <row r="490" ht="14.25" customHeight="1">
      <c r="R490" s="11"/>
    </row>
    <row r="491" ht="14.25" customHeight="1">
      <c r="R491" s="11"/>
    </row>
    <row r="492" ht="14.25" customHeight="1">
      <c r="R492" s="11"/>
    </row>
    <row r="493" ht="14.25" customHeight="1">
      <c r="R493" s="11"/>
    </row>
    <row r="494" ht="14.25" customHeight="1">
      <c r="R494" s="11"/>
    </row>
    <row r="495" ht="14.25" customHeight="1">
      <c r="R495" s="11"/>
    </row>
    <row r="496" ht="14.25" customHeight="1">
      <c r="R496" s="11"/>
    </row>
    <row r="497" ht="14.25" customHeight="1">
      <c r="R497" s="11"/>
    </row>
    <row r="498" ht="14.25" customHeight="1">
      <c r="R498" s="11"/>
    </row>
    <row r="499" ht="14.25" customHeight="1">
      <c r="R499" s="11"/>
    </row>
    <row r="500" ht="14.25" customHeight="1">
      <c r="R500" s="11"/>
    </row>
    <row r="501" ht="14.25" customHeight="1">
      <c r="R501" s="11"/>
    </row>
    <row r="502" ht="14.25" customHeight="1">
      <c r="R502" s="11"/>
    </row>
    <row r="503" ht="14.25" customHeight="1">
      <c r="R503" s="11"/>
    </row>
    <row r="504" ht="14.25" customHeight="1">
      <c r="R504" s="11"/>
    </row>
    <row r="505" ht="14.25" customHeight="1">
      <c r="R505" s="11"/>
    </row>
    <row r="506" ht="14.25" customHeight="1">
      <c r="R506" s="11"/>
    </row>
    <row r="507" ht="14.25" customHeight="1">
      <c r="R507" s="11"/>
    </row>
    <row r="508" ht="14.25" customHeight="1">
      <c r="R508" s="11"/>
    </row>
    <row r="509" ht="14.25" customHeight="1">
      <c r="R509" s="11"/>
    </row>
    <row r="510" ht="14.25" customHeight="1">
      <c r="R510" s="11"/>
    </row>
    <row r="511" ht="14.25" customHeight="1">
      <c r="R511" s="11"/>
    </row>
    <row r="512" ht="14.25" customHeight="1">
      <c r="R512" s="11"/>
    </row>
    <row r="513" ht="14.25" customHeight="1">
      <c r="R513" s="11"/>
    </row>
    <row r="514" ht="14.25" customHeight="1">
      <c r="R514" s="11"/>
    </row>
    <row r="515" ht="14.25" customHeight="1">
      <c r="R515" s="11"/>
    </row>
    <row r="516" ht="14.25" customHeight="1">
      <c r="R516" s="11"/>
    </row>
    <row r="517" ht="14.25" customHeight="1">
      <c r="R517" s="11"/>
    </row>
    <row r="518" ht="14.25" customHeight="1">
      <c r="R518" s="11"/>
    </row>
    <row r="519" ht="14.25" customHeight="1">
      <c r="R519" s="11"/>
    </row>
    <row r="520" ht="14.25" customHeight="1">
      <c r="R520" s="11"/>
    </row>
    <row r="521" ht="14.25" customHeight="1">
      <c r="R521" s="11"/>
    </row>
    <row r="522" ht="14.25" customHeight="1">
      <c r="R522" s="11"/>
    </row>
    <row r="523" ht="14.25" customHeight="1">
      <c r="R523" s="11"/>
    </row>
    <row r="524" ht="14.25" customHeight="1">
      <c r="R524" s="11"/>
    </row>
    <row r="525" ht="14.25" customHeight="1">
      <c r="R525" s="11"/>
    </row>
    <row r="526" ht="14.25" customHeight="1">
      <c r="R526" s="11"/>
    </row>
    <row r="527" ht="14.25" customHeight="1">
      <c r="R527" s="11"/>
    </row>
    <row r="528" ht="14.25" customHeight="1">
      <c r="R528" s="11"/>
    </row>
    <row r="529" ht="14.25" customHeight="1">
      <c r="R529" s="11"/>
    </row>
    <row r="530" ht="14.25" customHeight="1">
      <c r="R530" s="11"/>
    </row>
    <row r="531" ht="14.25" customHeight="1">
      <c r="R531" s="11"/>
    </row>
    <row r="532" ht="14.25" customHeight="1">
      <c r="R532" s="11"/>
    </row>
    <row r="533" ht="14.25" customHeight="1">
      <c r="R533" s="11"/>
    </row>
    <row r="534" ht="14.25" customHeight="1">
      <c r="R534" s="11"/>
    </row>
    <row r="535" ht="14.25" customHeight="1">
      <c r="R535" s="11"/>
    </row>
    <row r="536" ht="14.25" customHeight="1">
      <c r="R536" s="11"/>
    </row>
    <row r="537" ht="14.25" customHeight="1">
      <c r="R537" s="11"/>
    </row>
    <row r="538" ht="14.25" customHeight="1">
      <c r="R538" s="11"/>
    </row>
    <row r="539" ht="14.25" customHeight="1">
      <c r="R539" s="11"/>
    </row>
    <row r="540" ht="14.25" customHeight="1">
      <c r="R540" s="11"/>
    </row>
    <row r="541" ht="14.25" customHeight="1">
      <c r="R541" s="11"/>
    </row>
    <row r="542" ht="14.25" customHeight="1">
      <c r="R542" s="11"/>
    </row>
    <row r="543" ht="14.25" customHeight="1">
      <c r="R543" s="11"/>
    </row>
    <row r="544" ht="14.25" customHeight="1">
      <c r="R544" s="11"/>
    </row>
    <row r="545" ht="14.25" customHeight="1">
      <c r="R545" s="11"/>
    </row>
    <row r="546" ht="14.25" customHeight="1">
      <c r="R546" s="11"/>
    </row>
    <row r="547" ht="14.25" customHeight="1">
      <c r="R547" s="11"/>
    </row>
    <row r="548" ht="14.25" customHeight="1">
      <c r="R548" s="11"/>
    </row>
    <row r="549" ht="14.25" customHeight="1">
      <c r="R549" s="11"/>
    </row>
    <row r="550" ht="14.25" customHeight="1">
      <c r="R550" s="11"/>
    </row>
    <row r="551" ht="14.25" customHeight="1">
      <c r="R551" s="11"/>
    </row>
    <row r="552" ht="14.25" customHeight="1">
      <c r="R552" s="11"/>
    </row>
    <row r="553" ht="14.25" customHeight="1">
      <c r="R553" s="11"/>
    </row>
    <row r="554" ht="14.25" customHeight="1">
      <c r="R554" s="11"/>
    </row>
    <row r="555" ht="14.25" customHeight="1">
      <c r="R555" s="11"/>
    </row>
    <row r="556" ht="14.25" customHeight="1">
      <c r="R556" s="11"/>
    </row>
    <row r="557" ht="14.25" customHeight="1">
      <c r="R557" s="11"/>
    </row>
    <row r="558" ht="14.25" customHeight="1">
      <c r="R558" s="11"/>
    </row>
    <row r="559" ht="14.25" customHeight="1">
      <c r="R559" s="11"/>
    </row>
    <row r="560" ht="14.25" customHeight="1">
      <c r="R560" s="11"/>
    </row>
    <row r="561" ht="14.25" customHeight="1">
      <c r="R561" s="11"/>
    </row>
    <row r="562" ht="14.25" customHeight="1">
      <c r="R562" s="11"/>
    </row>
    <row r="563" ht="14.25" customHeight="1">
      <c r="R563" s="11"/>
    </row>
    <row r="564" ht="14.25" customHeight="1">
      <c r="R564" s="11"/>
    </row>
    <row r="565" ht="14.25" customHeight="1">
      <c r="R565" s="11"/>
    </row>
    <row r="566" ht="14.25" customHeight="1">
      <c r="R566" s="11"/>
    </row>
    <row r="567" ht="14.25" customHeight="1">
      <c r="R567" s="11"/>
    </row>
    <row r="568" ht="14.25" customHeight="1">
      <c r="R568" s="11"/>
    </row>
    <row r="569" ht="14.25" customHeight="1">
      <c r="R569" s="11"/>
    </row>
    <row r="570" ht="14.25" customHeight="1">
      <c r="R570" s="11"/>
    </row>
    <row r="571" ht="14.25" customHeight="1">
      <c r="R571" s="11"/>
    </row>
    <row r="572" ht="14.25" customHeight="1">
      <c r="R572" s="11"/>
    </row>
    <row r="573" ht="14.25" customHeight="1">
      <c r="R573" s="11"/>
    </row>
    <row r="574" ht="14.25" customHeight="1">
      <c r="R574" s="11"/>
    </row>
    <row r="575" ht="14.25" customHeight="1">
      <c r="R575" s="11"/>
    </row>
    <row r="576" ht="14.25" customHeight="1">
      <c r="R576" s="11"/>
    </row>
    <row r="577" ht="14.25" customHeight="1">
      <c r="R577" s="11"/>
    </row>
    <row r="578" ht="14.25" customHeight="1">
      <c r="R578" s="11"/>
    </row>
    <row r="579" ht="14.25" customHeight="1">
      <c r="R579" s="11"/>
    </row>
    <row r="580" ht="14.25" customHeight="1">
      <c r="R580" s="11"/>
    </row>
    <row r="581" ht="14.25" customHeight="1">
      <c r="R581" s="11"/>
    </row>
    <row r="582" ht="14.25" customHeight="1">
      <c r="R582" s="11"/>
    </row>
    <row r="583" ht="14.25" customHeight="1">
      <c r="R583" s="11"/>
    </row>
    <row r="584" ht="14.25" customHeight="1">
      <c r="R584" s="11"/>
    </row>
    <row r="585" ht="14.25" customHeight="1">
      <c r="R585" s="11"/>
    </row>
    <row r="586" ht="14.25" customHeight="1">
      <c r="R586" s="11"/>
    </row>
    <row r="587" ht="14.25" customHeight="1">
      <c r="R587" s="11"/>
    </row>
    <row r="588" ht="14.25" customHeight="1">
      <c r="R588" s="11"/>
    </row>
    <row r="589" ht="14.25" customHeight="1">
      <c r="R589" s="11"/>
    </row>
    <row r="590" ht="14.25" customHeight="1">
      <c r="R590" s="11"/>
    </row>
    <row r="591" ht="14.25" customHeight="1">
      <c r="R591" s="11"/>
    </row>
    <row r="592" ht="14.25" customHeight="1">
      <c r="R592" s="11"/>
    </row>
    <row r="593" ht="14.25" customHeight="1">
      <c r="R593" s="11"/>
    </row>
    <row r="594" ht="14.25" customHeight="1">
      <c r="R594" s="11"/>
    </row>
    <row r="595" ht="14.25" customHeight="1">
      <c r="R595" s="11"/>
    </row>
    <row r="596" ht="14.25" customHeight="1">
      <c r="R596" s="11"/>
    </row>
    <row r="597" ht="14.25" customHeight="1">
      <c r="R597" s="11"/>
    </row>
    <row r="598" ht="14.25" customHeight="1">
      <c r="R598" s="11"/>
    </row>
    <row r="599" ht="14.25" customHeight="1">
      <c r="R599" s="11"/>
    </row>
    <row r="600" ht="14.25" customHeight="1">
      <c r="R600" s="11"/>
    </row>
    <row r="601" ht="14.25" customHeight="1">
      <c r="R601" s="11"/>
    </row>
    <row r="602" ht="14.25" customHeight="1">
      <c r="R602" s="11"/>
    </row>
    <row r="603" ht="14.25" customHeight="1">
      <c r="R603" s="11"/>
    </row>
    <row r="604" ht="14.25" customHeight="1">
      <c r="R604" s="11"/>
    </row>
    <row r="605" ht="14.25" customHeight="1">
      <c r="R605" s="11"/>
    </row>
    <row r="606" ht="14.25" customHeight="1">
      <c r="R606" s="11"/>
    </row>
    <row r="607" ht="14.25" customHeight="1">
      <c r="R607" s="11"/>
    </row>
    <row r="608" ht="14.25" customHeight="1">
      <c r="R608" s="11"/>
    </row>
    <row r="609" ht="14.25" customHeight="1">
      <c r="R609" s="11"/>
    </row>
    <row r="610" ht="14.25" customHeight="1">
      <c r="R610" s="11"/>
    </row>
    <row r="611" ht="14.25" customHeight="1">
      <c r="R611" s="11"/>
    </row>
    <row r="612" ht="14.25" customHeight="1">
      <c r="R612" s="11"/>
    </row>
    <row r="613" ht="14.25" customHeight="1">
      <c r="R613" s="11"/>
    </row>
    <row r="614" ht="14.25" customHeight="1">
      <c r="R614" s="11"/>
    </row>
    <row r="615" ht="14.25" customHeight="1">
      <c r="R615" s="11"/>
    </row>
    <row r="616" ht="14.25" customHeight="1">
      <c r="R616" s="11"/>
    </row>
    <row r="617" ht="14.25" customHeight="1">
      <c r="R617" s="11"/>
    </row>
    <row r="618" ht="14.25" customHeight="1">
      <c r="R618" s="11"/>
    </row>
    <row r="619" ht="14.25" customHeight="1">
      <c r="R619" s="11"/>
    </row>
    <row r="620" ht="14.25" customHeight="1">
      <c r="R620" s="11"/>
    </row>
    <row r="621" ht="14.25" customHeight="1">
      <c r="R621" s="11"/>
    </row>
    <row r="622" ht="14.25" customHeight="1">
      <c r="R622" s="11"/>
    </row>
    <row r="623" ht="14.25" customHeight="1">
      <c r="R623" s="11"/>
    </row>
    <row r="624" ht="14.25" customHeight="1">
      <c r="R624" s="11"/>
    </row>
    <row r="625" ht="14.25" customHeight="1">
      <c r="R625" s="11"/>
    </row>
    <row r="626" ht="14.25" customHeight="1">
      <c r="R626" s="11"/>
    </row>
    <row r="627" ht="14.25" customHeight="1">
      <c r="R627" s="11"/>
    </row>
    <row r="628" ht="14.25" customHeight="1">
      <c r="R628" s="11"/>
    </row>
    <row r="629" ht="14.25" customHeight="1">
      <c r="R629" s="11"/>
    </row>
    <row r="630" ht="14.25" customHeight="1">
      <c r="R630" s="11"/>
    </row>
    <row r="631" ht="14.25" customHeight="1">
      <c r="R631" s="11"/>
    </row>
    <row r="632" ht="14.25" customHeight="1">
      <c r="R632" s="11"/>
    </row>
    <row r="633" ht="14.25" customHeight="1">
      <c r="R633" s="11"/>
    </row>
    <row r="634" ht="14.25" customHeight="1">
      <c r="R634" s="11"/>
    </row>
    <row r="635" ht="14.25" customHeight="1">
      <c r="R635" s="11"/>
    </row>
    <row r="636" ht="14.25" customHeight="1">
      <c r="R636" s="11"/>
    </row>
    <row r="637" ht="14.25" customHeight="1">
      <c r="R637" s="11"/>
    </row>
    <row r="638" ht="14.25" customHeight="1">
      <c r="R638" s="11"/>
    </row>
    <row r="639" ht="14.25" customHeight="1">
      <c r="R639" s="11"/>
    </row>
    <row r="640" ht="14.25" customHeight="1">
      <c r="R640" s="11"/>
    </row>
    <row r="641" ht="14.25" customHeight="1">
      <c r="R641" s="11"/>
    </row>
    <row r="642" ht="14.25" customHeight="1">
      <c r="R642" s="11"/>
    </row>
    <row r="643" ht="14.25" customHeight="1">
      <c r="R643" s="11"/>
    </row>
    <row r="644" ht="14.25" customHeight="1">
      <c r="R644" s="11"/>
    </row>
    <row r="645" ht="14.25" customHeight="1">
      <c r="R645" s="11"/>
    </row>
    <row r="646" ht="14.25" customHeight="1">
      <c r="R646" s="11"/>
    </row>
    <row r="647" ht="14.25" customHeight="1">
      <c r="R647" s="11"/>
    </row>
    <row r="648" ht="14.25" customHeight="1">
      <c r="R648" s="11"/>
    </row>
    <row r="649" ht="14.25" customHeight="1">
      <c r="R649" s="11"/>
    </row>
    <row r="650" ht="14.25" customHeight="1">
      <c r="R650" s="11"/>
    </row>
    <row r="651" ht="14.25" customHeight="1">
      <c r="R651" s="11"/>
    </row>
    <row r="652" ht="14.25" customHeight="1">
      <c r="R652" s="11"/>
    </row>
    <row r="653" ht="14.25" customHeight="1">
      <c r="R653" s="11"/>
    </row>
    <row r="654" ht="14.25" customHeight="1">
      <c r="R654" s="11"/>
    </row>
    <row r="655" ht="14.25" customHeight="1">
      <c r="R655" s="11"/>
    </row>
    <row r="656" ht="14.25" customHeight="1">
      <c r="R656" s="11"/>
    </row>
    <row r="657" ht="14.25" customHeight="1">
      <c r="R657" s="11"/>
    </row>
    <row r="658" ht="14.25" customHeight="1">
      <c r="R658" s="11"/>
    </row>
    <row r="659" ht="14.25" customHeight="1">
      <c r="R659" s="11"/>
    </row>
    <row r="660" ht="14.25" customHeight="1">
      <c r="R660" s="11"/>
    </row>
    <row r="661" ht="14.25" customHeight="1">
      <c r="R661" s="11"/>
    </row>
    <row r="662" ht="14.25" customHeight="1">
      <c r="R662" s="11"/>
    </row>
    <row r="663" ht="14.25" customHeight="1">
      <c r="R663" s="11"/>
    </row>
    <row r="664" ht="14.25" customHeight="1">
      <c r="R664" s="11"/>
    </row>
    <row r="665" ht="14.25" customHeight="1">
      <c r="R665" s="11"/>
    </row>
    <row r="666" ht="14.25" customHeight="1">
      <c r="R666" s="11"/>
    </row>
    <row r="667" ht="14.25" customHeight="1">
      <c r="R667" s="11"/>
    </row>
    <row r="668" ht="14.25" customHeight="1">
      <c r="R668" s="11"/>
    </row>
    <row r="669" ht="14.25" customHeight="1">
      <c r="R669" s="11"/>
    </row>
    <row r="670" ht="14.25" customHeight="1">
      <c r="R670" s="11"/>
    </row>
    <row r="671" ht="14.25" customHeight="1">
      <c r="R671" s="11"/>
    </row>
    <row r="672" ht="14.25" customHeight="1">
      <c r="R672" s="11"/>
    </row>
    <row r="673" ht="14.25" customHeight="1">
      <c r="R673" s="11"/>
    </row>
    <row r="674" ht="14.25" customHeight="1">
      <c r="R674" s="11"/>
    </row>
    <row r="675" ht="14.25" customHeight="1">
      <c r="R675" s="11"/>
    </row>
    <row r="676" ht="14.25" customHeight="1">
      <c r="R676" s="11"/>
    </row>
    <row r="677" ht="14.25" customHeight="1">
      <c r="R677" s="11"/>
    </row>
    <row r="678" ht="14.25" customHeight="1">
      <c r="R678" s="11"/>
    </row>
    <row r="679" ht="14.25" customHeight="1">
      <c r="R679" s="11"/>
    </row>
    <row r="680" ht="14.25" customHeight="1">
      <c r="R680" s="11"/>
    </row>
    <row r="681" ht="14.25" customHeight="1">
      <c r="R681" s="11"/>
    </row>
    <row r="682" ht="14.25" customHeight="1">
      <c r="R682" s="11"/>
    </row>
    <row r="683" ht="14.25" customHeight="1">
      <c r="R683" s="11"/>
    </row>
    <row r="684" ht="14.25" customHeight="1">
      <c r="R684" s="11"/>
    </row>
    <row r="685" ht="14.25" customHeight="1">
      <c r="R685" s="11"/>
    </row>
    <row r="686" ht="14.25" customHeight="1">
      <c r="R686" s="11"/>
    </row>
    <row r="687" ht="14.25" customHeight="1">
      <c r="R687" s="11"/>
    </row>
    <row r="688" ht="14.25" customHeight="1">
      <c r="R688" s="11"/>
    </row>
    <row r="689" ht="14.25" customHeight="1">
      <c r="R689" s="11"/>
    </row>
    <row r="690" ht="14.25" customHeight="1">
      <c r="R690" s="11"/>
    </row>
    <row r="691" ht="14.25" customHeight="1">
      <c r="R691" s="11"/>
    </row>
    <row r="692" ht="14.25" customHeight="1">
      <c r="R692" s="11"/>
    </row>
    <row r="693" ht="14.25" customHeight="1">
      <c r="R693" s="11"/>
    </row>
    <row r="694" ht="14.25" customHeight="1">
      <c r="R694" s="11"/>
    </row>
    <row r="695" ht="14.25" customHeight="1">
      <c r="R695" s="11"/>
    </row>
    <row r="696" ht="14.25" customHeight="1">
      <c r="R696" s="11"/>
    </row>
    <row r="697" ht="14.25" customHeight="1">
      <c r="R697" s="11"/>
    </row>
    <row r="698" ht="14.25" customHeight="1">
      <c r="R698" s="11"/>
    </row>
    <row r="699" ht="14.25" customHeight="1">
      <c r="R699" s="11"/>
    </row>
    <row r="700" ht="14.25" customHeight="1">
      <c r="R700" s="11"/>
    </row>
    <row r="701" ht="14.25" customHeight="1">
      <c r="R701" s="11"/>
    </row>
    <row r="702" ht="14.25" customHeight="1">
      <c r="R702" s="11"/>
    </row>
    <row r="703" ht="14.25" customHeight="1">
      <c r="R703" s="11"/>
    </row>
    <row r="704" ht="14.25" customHeight="1">
      <c r="R704" s="11"/>
    </row>
    <row r="705" ht="14.25" customHeight="1">
      <c r="R705" s="11"/>
    </row>
    <row r="706" ht="14.25" customHeight="1">
      <c r="R706" s="11"/>
    </row>
    <row r="707" ht="14.25" customHeight="1">
      <c r="R707" s="11"/>
    </row>
    <row r="708" ht="14.25" customHeight="1">
      <c r="R708" s="11"/>
    </row>
    <row r="709" ht="14.25" customHeight="1">
      <c r="R709" s="11"/>
    </row>
    <row r="710" ht="14.25" customHeight="1">
      <c r="R710" s="11"/>
    </row>
    <row r="711" ht="14.25" customHeight="1">
      <c r="R711" s="11"/>
    </row>
    <row r="712" ht="14.25" customHeight="1">
      <c r="R712" s="11"/>
    </row>
    <row r="713" ht="14.25" customHeight="1">
      <c r="R713" s="11"/>
    </row>
    <row r="714" ht="14.25" customHeight="1">
      <c r="R714" s="11"/>
    </row>
    <row r="715" ht="14.25" customHeight="1">
      <c r="R715" s="11"/>
    </row>
    <row r="716" ht="14.25" customHeight="1">
      <c r="R716" s="11"/>
    </row>
    <row r="717" ht="14.25" customHeight="1">
      <c r="R717" s="11"/>
    </row>
    <row r="718" ht="14.25" customHeight="1">
      <c r="R718" s="11"/>
    </row>
    <row r="719" ht="14.25" customHeight="1">
      <c r="R719" s="11"/>
    </row>
    <row r="720" ht="14.25" customHeight="1">
      <c r="R720" s="11"/>
    </row>
    <row r="721" ht="14.25" customHeight="1">
      <c r="R721" s="11"/>
    </row>
    <row r="722" ht="14.25" customHeight="1">
      <c r="R722" s="11"/>
    </row>
    <row r="723" ht="14.25" customHeight="1">
      <c r="R723" s="11"/>
    </row>
    <row r="724" ht="14.25" customHeight="1">
      <c r="R724" s="11"/>
    </row>
    <row r="725" ht="14.25" customHeight="1">
      <c r="R725" s="11"/>
    </row>
    <row r="726" ht="14.25" customHeight="1">
      <c r="R726" s="11"/>
    </row>
    <row r="727" ht="14.25" customHeight="1">
      <c r="R727" s="11"/>
    </row>
    <row r="728" ht="14.25" customHeight="1">
      <c r="R728" s="11"/>
    </row>
    <row r="729" ht="14.25" customHeight="1">
      <c r="R729" s="11"/>
    </row>
    <row r="730" ht="14.25" customHeight="1">
      <c r="R730" s="11"/>
    </row>
    <row r="731" ht="14.25" customHeight="1">
      <c r="R731" s="11"/>
    </row>
    <row r="732" ht="14.25" customHeight="1">
      <c r="R732" s="11"/>
    </row>
    <row r="733" ht="14.25" customHeight="1">
      <c r="R733" s="11"/>
    </row>
    <row r="734" ht="14.25" customHeight="1">
      <c r="R734" s="11"/>
    </row>
    <row r="735" ht="14.25" customHeight="1">
      <c r="R735" s="11"/>
    </row>
    <row r="736" ht="14.25" customHeight="1">
      <c r="R736" s="11"/>
    </row>
    <row r="737" ht="14.25" customHeight="1">
      <c r="R737" s="11"/>
    </row>
    <row r="738" ht="14.25" customHeight="1">
      <c r="R738" s="11"/>
    </row>
    <row r="739" ht="14.25" customHeight="1">
      <c r="R739" s="11"/>
    </row>
    <row r="740" ht="14.25" customHeight="1">
      <c r="R740" s="11"/>
    </row>
    <row r="741" ht="14.25" customHeight="1">
      <c r="R741" s="11"/>
    </row>
    <row r="742" ht="14.25" customHeight="1">
      <c r="R742" s="11"/>
    </row>
    <row r="743" ht="14.25" customHeight="1">
      <c r="R743" s="11"/>
    </row>
    <row r="744" ht="14.25" customHeight="1">
      <c r="R744" s="11"/>
    </row>
    <row r="745" ht="14.25" customHeight="1">
      <c r="R745" s="11"/>
    </row>
    <row r="746" ht="14.25" customHeight="1">
      <c r="R746" s="11"/>
    </row>
    <row r="747" ht="14.25" customHeight="1">
      <c r="R747" s="11"/>
    </row>
    <row r="748" ht="14.25" customHeight="1">
      <c r="R748" s="11"/>
    </row>
    <row r="749" ht="14.25" customHeight="1">
      <c r="R749" s="11"/>
    </row>
    <row r="750" ht="14.25" customHeight="1">
      <c r="R750" s="11"/>
    </row>
    <row r="751" ht="14.25" customHeight="1">
      <c r="R751" s="11"/>
    </row>
    <row r="752" ht="14.25" customHeight="1">
      <c r="R752" s="11"/>
    </row>
    <row r="753" ht="14.25" customHeight="1">
      <c r="R753" s="11"/>
    </row>
    <row r="754" ht="14.25" customHeight="1">
      <c r="R754" s="11"/>
    </row>
    <row r="755" ht="14.25" customHeight="1">
      <c r="R755" s="11"/>
    </row>
    <row r="756" ht="14.25" customHeight="1">
      <c r="R756" s="11"/>
    </row>
    <row r="757" ht="14.25" customHeight="1">
      <c r="R757" s="11"/>
    </row>
    <row r="758" ht="14.25" customHeight="1">
      <c r="R758" s="11"/>
    </row>
    <row r="759" ht="14.25" customHeight="1">
      <c r="R759" s="11"/>
    </row>
    <row r="760" ht="14.25" customHeight="1">
      <c r="R760" s="11"/>
    </row>
    <row r="761" ht="14.25" customHeight="1">
      <c r="R761" s="11"/>
    </row>
    <row r="762" ht="14.25" customHeight="1">
      <c r="R762" s="11"/>
    </row>
    <row r="763" ht="14.25" customHeight="1">
      <c r="R763" s="11"/>
    </row>
    <row r="764" ht="14.25" customHeight="1">
      <c r="R764" s="11"/>
    </row>
    <row r="765" ht="14.25" customHeight="1">
      <c r="R765" s="11"/>
    </row>
    <row r="766" ht="14.25" customHeight="1">
      <c r="R766" s="11"/>
    </row>
    <row r="767" ht="14.25" customHeight="1">
      <c r="R767" s="11"/>
    </row>
    <row r="768" ht="14.25" customHeight="1">
      <c r="R768" s="11"/>
    </row>
    <row r="769" ht="14.25" customHeight="1">
      <c r="R769" s="11"/>
    </row>
    <row r="770" ht="14.25" customHeight="1">
      <c r="R770" s="11"/>
    </row>
    <row r="771" ht="14.25" customHeight="1">
      <c r="R771" s="11"/>
    </row>
    <row r="772" ht="14.25" customHeight="1">
      <c r="R772" s="11"/>
    </row>
    <row r="773" ht="14.25" customHeight="1">
      <c r="R773" s="11"/>
    </row>
    <row r="774" ht="14.25" customHeight="1">
      <c r="R774" s="11"/>
    </row>
    <row r="775" ht="14.25" customHeight="1">
      <c r="R775" s="11"/>
    </row>
    <row r="776" ht="14.25" customHeight="1">
      <c r="R776" s="11"/>
    </row>
    <row r="777" ht="14.25" customHeight="1">
      <c r="R777" s="11"/>
    </row>
    <row r="778" ht="14.25" customHeight="1">
      <c r="R778" s="11"/>
    </row>
    <row r="779" ht="14.25" customHeight="1">
      <c r="R779" s="11"/>
    </row>
    <row r="780" ht="14.25" customHeight="1">
      <c r="R780" s="11"/>
    </row>
    <row r="781" ht="14.25" customHeight="1">
      <c r="R781" s="11"/>
    </row>
    <row r="782" ht="14.25" customHeight="1">
      <c r="R782" s="11"/>
    </row>
    <row r="783" ht="14.25" customHeight="1">
      <c r="R783" s="11"/>
    </row>
    <row r="784" ht="14.25" customHeight="1">
      <c r="R784" s="11"/>
    </row>
    <row r="785" ht="14.25" customHeight="1">
      <c r="R785" s="11"/>
    </row>
    <row r="786" ht="14.25" customHeight="1">
      <c r="R786" s="11"/>
    </row>
    <row r="787" ht="14.25" customHeight="1">
      <c r="R787" s="11"/>
    </row>
    <row r="788" ht="14.25" customHeight="1">
      <c r="R788" s="11"/>
    </row>
    <row r="789" ht="14.25" customHeight="1">
      <c r="R789" s="11"/>
    </row>
    <row r="790" ht="14.25" customHeight="1">
      <c r="R790" s="11"/>
    </row>
    <row r="791" ht="14.25" customHeight="1">
      <c r="R791" s="11"/>
    </row>
    <row r="792" ht="14.25" customHeight="1">
      <c r="R792" s="11"/>
    </row>
    <row r="793" ht="14.25" customHeight="1">
      <c r="R793" s="11"/>
    </row>
    <row r="794" ht="14.25" customHeight="1">
      <c r="R794" s="11"/>
    </row>
    <row r="795" ht="14.25" customHeight="1">
      <c r="R795" s="11"/>
    </row>
    <row r="796" ht="14.25" customHeight="1">
      <c r="R796" s="11"/>
    </row>
    <row r="797" ht="14.25" customHeight="1">
      <c r="R797" s="11"/>
    </row>
    <row r="798" ht="14.25" customHeight="1">
      <c r="R798" s="11"/>
    </row>
    <row r="799" ht="14.25" customHeight="1">
      <c r="R799" s="11"/>
    </row>
    <row r="800" ht="14.25" customHeight="1">
      <c r="R800" s="11"/>
    </row>
    <row r="801" ht="14.25" customHeight="1">
      <c r="R801" s="11"/>
    </row>
    <row r="802" ht="14.25" customHeight="1">
      <c r="R802" s="11"/>
    </row>
    <row r="803" ht="14.25" customHeight="1">
      <c r="R803" s="11"/>
    </row>
    <row r="804" ht="14.25" customHeight="1">
      <c r="R804" s="11"/>
    </row>
    <row r="805" ht="14.25" customHeight="1">
      <c r="R805" s="11"/>
    </row>
    <row r="806" ht="14.25" customHeight="1">
      <c r="R806" s="11"/>
    </row>
    <row r="807" ht="14.25" customHeight="1">
      <c r="R807" s="11"/>
    </row>
    <row r="808" ht="14.25" customHeight="1">
      <c r="R808" s="11"/>
    </row>
    <row r="809" ht="14.25" customHeight="1">
      <c r="R809" s="11"/>
    </row>
    <row r="810" ht="14.25" customHeight="1">
      <c r="R810" s="11"/>
    </row>
    <row r="811" ht="14.25" customHeight="1">
      <c r="R811" s="11"/>
    </row>
    <row r="812" ht="14.25" customHeight="1">
      <c r="R812" s="11"/>
    </row>
    <row r="813" ht="14.25" customHeight="1">
      <c r="R813" s="11"/>
    </row>
    <row r="814" ht="14.25" customHeight="1">
      <c r="R814" s="11"/>
    </row>
    <row r="815" ht="14.25" customHeight="1">
      <c r="R815" s="11"/>
    </row>
    <row r="816" ht="14.25" customHeight="1">
      <c r="R816" s="11"/>
    </row>
    <row r="817" ht="14.25" customHeight="1">
      <c r="R817" s="11"/>
    </row>
    <row r="818" ht="14.25" customHeight="1">
      <c r="R818" s="11"/>
    </row>
    <row r="819" ht="14.25" customHeight="1">
      <c r="R819" s="11"/>
    </row>
    <row r="820" ht="14.25" customHeight="1">
      <c r="R820" s="11"/>
    </row>
    <row r="821" ht="14.25" customHeight="1">
      <c r="R821" s="11"/>
    </row>
    <row r="822" ht="14.25" customHeight="1">
      <c r="R822" s="11"/>
    </row>
    <row r="823" ht="14.25" customHeight="1">
      <c r="R823" s="11"/>
    </row>
    <row r="824" ht="14.25" customHeight="1">
      <c r="R824" s="11"/>
    </row>
    <row r="825" ht="14.25" customHeight="1">
      <c r="R825" s="11"/>
    </row>
    <row r="826" ht="14.25" customHeight="1">
      <c r="R826" s="11"/>
    </row>
    <row r="827" ht="14.25" customHeight="1">
      <c r="R827" s="11"/>
    </row>
    <row r="828" ht="14.25" customHeight="1">
      <c r="R828" s="11"/>
    </row>
    <row r="829" ht="14.25" customHeight="1">
      <c r="R829" s="11"/>
    </row>
    <row r="830" ht="14.25" customHeight="1">
      <c r="R830" s="11"/>
    </row>
    <row r="831" ht="14.25" customHeight="1">
      <c r="R831" s="11"/>
    </row>
    <row r="832" ht="14.25" customHeight="1">
      <c r="R832" s="11"/>
    </row>
    <row r="833" ht="14.25" customHeight="1">
      <c r="R833" s="11"/>
    </row>
    <row r="834" ht="14.25" customHeight="1">
      <c r="R834" s="11"/>
    </row>
    <row r="835" ht="14.25" customHeight="1">
      <c r="R835" s="11"/>
    </row>
    <row r="836" ht="14.25" customHeight="1">
      <c r="R836" s="11"/>
    </row>
    <row r="837" ht="14.25" customHeight="1">
      <c r="R837" s="11"/>
    </row>
    <row r="838" ht="14.25" customHeight="1">
      <c r="R838" s="11"/>
    </row>
    <row r="839" ht="14.25" customHeight="1">
      <c r="R839" s="11"/>
    </row>
    <row r="840" ht="14.25" customHeight="1">
      <c r="R840" s="11"/>
    </row>
    <row r="841" ht="14.25" customHeight="1">
      <c r="R841" s="11"/>
    </row>
    <row r="842" ht="14.25" customHeight="1">
      <c r="R842" s="11"/>
    </row>
    <row r="843" ht="14.25" customHeight="1">
      <c r="R843" s="11"/>
    </row>
    <row r="844" ht="14.25" customHeight="1">
      <c r="R844" s="11"/>
    </row>
    <row r="845" ht="14.25" customHeight="1">
      <c r="R845" s="11"/>
    </row>
    <row r="846" ht="14.25" customHeight="1">
      <c r="R846" s="11"/>
    </row>
    <row r="847" ht="14.25" customHeight="1">
      <c r="R847" s="11"/>
    </row>
    <row r="848" ht="14.25" customHeight="1">
      <c r="R848" s="11"/>
    </row>
    <row r="849" ht="14.25" customHeight="1">
      <c r="R849" s="11"/>
    </row>
    <row r="850" ht="14.25" customHeight="1">
      <c r="R850" s="11"/>
    </row>
    <row r="851" ht="14.25" customHeight="1">
      <c r="R851" s="11"/>
    </row>
    <row r="852" ht="14.25" customHeight="1">
      <c r="R852" s="11"/>
    </row>
    <row r="853" ht="14.25" customHeight="1">
      <c r="R853" s="11"/>
    </row>
    <row r="854" ht="14.25" customHeight="1">
      <c r="R854" s="11"/>
    </row>
    <row r="855" ht="14.25" customHeight="1">
      <c r="R855" s="11"/>
    </row>
    <row r="856" ht="14.25" customHeight="1">
      <c r="R856" s="11"/>
    </row>
    <row r="857" ht="14.25" customHeight="1">
      <c r="R857" s="11"/>
    </row>
    <row r="858" ht="14.25" customHeight="1">
      <c r="R858" s="11"/>
    </row>
    <row r="859" ht="14.25" customHeight="1">
      <c r="R859" s="11"/>
    </row>
    <row r="860" ht="14.25" customHeight="1">
      <c r="R860" s="11"/>
    </row>
    <row r="861" ht="14.25" customHeight="1">
      <c r="R861" s="11"/>
    </row>
    <row r="862" ht="14.25" customHeight="1">
      <c r="R862" s="11"/>
    </row>
    <row r="863" ht="14.25" customHeight="1">
      <c r="R863" s="11"/>
    </row>
    <row r="864" ht="14.25" customHeight="1">
      <c r="R864" s="11"/>
    </row>
    <row r="865" ht="14.25" customHeight="1">
      <c r="R865" s="11"/>
    </row>
    <row r="866" ht="14.25" customHeight="1">
      <c r="R866" s="11"/>
    </row>
    <row r="867" ht="14.25" customHeight="1">
      <c r="R867" s="11"/>
    </row>
    <row r="868" ht="14.25" customHeight="1">
      <c r="R868" s="11"/>
    </row>
    <row r="869" ht="14.25" customHeight="1">
      <c r="R869" s="11"/>
    </row>
    <row r="870" ht="14.25" customHeight="1">
      <c r="R870" s="11"/>
    </row>
    <row r="871" ht="14.25" customHeight="1">
      <c r="R871" s="11"/>
    </row>
    <row r="872" ht="14.25" customHeight="1">
      <c r="R872" s="11"/>
    </row>
    <row r="873" ht="14.25" customHeight="1">
      <c r="R873" s="11"/>
    </row>
    <row r="874" ht="14.25" customHeight="1">
      <c r="R874" s="11"/>
    </row>
    <row r="875" ht="14.25" customHeight="1">
      <c r="R875" s="11"/>
    </row>
    <row r="876" ht="14.25" customHeight="1">
      <c r="R876" s="11"/>
    </row>
    <row r="877" ht="14.25" customHeight="1">
      <c r="R877" s="11"/>
    </row>
    <row r="878" ht="14.25" customHeight="1">
      <c r="R878" s="11"/>
    </row>
    <row r="879" ht="14.25" customHeight="1">
      <c r="R879" s="11"/>
    </row>
    <row r="880" ht="14.25" customHeight="1">
      <c r="R880" s="11"/>
    </row>
    <row r="881" ht="14.25" customHeight="1">
      <c r="R881" s="11"/>
    </row>
    <row r="882" ht="14.25" customHeight="1">
      <c r="R882" s="11"/>
    </row>
    <row r="883" ht="14.25" customHeight="1">
      <c r="R883" s="11"/>
    </row>
    <row r="884" ht="14.25" customHeight="1">
      <c r="R884" s="11"/>
    </row>
    <row r="885" ht="14.25" customHeight="1">
      <c r="R885" s="11"/>
    </row>
    <row r="886" ht="14.25" customHeight="1">
      <c r="R886" s="11"/>
    </row>
    <row r="887" ht="14.25" customHeight="1">
      <c r="R887" s="11"/>
    </row>
    <row r="888" ht="14.25" customHeight="1">
      <c r="R888" s="11"/>
    </row>
    <row r="889" ht="14.25" customHeight="1">
      <c r="R889" s="11"/>
    </row>
    <row r="890" ht="14.25" customHeight="1">
      <c r="R890" s="11"/>
    </row>
    <row r="891" ht="14.25" customHeight="1">
      <c r="R891" s="11"/>
    </row>
    <row r="892" ht="14.25" customHeight="1">
      <c r="R892" s="11"/>
    </row>
    <row r="893" ht="14.25" customHeight="1">
      <c r="R893" s="11"/>
    </row>
    <row r="894" ht="14.25" customHeight="1">
      <c r="R894" s="11"/>
    </row>
    <row r="895" ht="14.25" customHeight="1">
      <c r="R895" s="11"/>
    </row>
    <row r="896" ht="14.25" customHeight="1">
      <c r="R896" s="11"/>
    </row>
    <row r="897" ht="14.25" customHeight="1">
      <c r="R897" s="11"/>
    </row>
    <row r="898" ht="14.25" customHeight="1">
      <c r="R898" s="11"/>
    </row>
    <row r="899" ht="14.25" customHeight="1">
      <c r="R899" s="11"/>
    </row>
    <row r="900" ht="14.25" customHeight="1">
      <c r="R900" s="11"/>
    </row>
    <row r="901" ht="14.25" customHeight="1">
      <c r="R901" s="11"/>
    </row>
    <row r="902" ht="14.25" customHeight="1">
      <c r="R902" s="11"/>
    </row>
    <row r="903" ht="14.25" customHeight="1">
      <c r="R903" s="11"/>
    </row>
    <row r="904" ht="14.25" customHeight="1">
      <c r="R904" s="11"/>
    </row>
    <row r="905" ht="14.25" customHeight="1">
      <c r="R905" s="11"/>
    </row>
    <row r="906" ht="14.25" customHeight="1">
      <c r="R906" s="11"/>
    </row>
    <row r="907" ht="14.25" customHeight="1">
      <c r="R907" s="11"/>
    </row>
    <row r="908" ht="14.25" customHeight="1">
      <c r="R908" s="11"/>
    </row>
    <row r="909" ht="14.25" customHeight="1">
      <c r="R909" s="11"/>
    </row>
    <row r="910" ht="14.25" customHeight="1">
      <c r="R910" s="11"/>
    </row>
    <row r="911" ht="14.25" customHeight="1">
      <c r="R911" s="11"/>
    </row>
    <row r="912" ht="14.25" customHeight="1">
      <c r="R912" s="11"/>
    </row>
    <row r="913" ht="14.25" customHeight="1">
      <c r="R913" s="11"/>
    </row>
    <row r="914" ht="14.25" customHeight="1">
      <c r="R914" s="11"/>
    </row>
    <row r="915" ht="14.25" customHeight="1">
      <c r="R915" s="11"/>
    </row>
    <row r="916" ht="14.25" customHeight="1">
      <c r="R916" s="11"/>
    </row>
    <row r="917" ht="14.25" customHeight="1">
      <c r="R917" s="11"/>
    </row>
    <row r="918" ht="14.25" customHeight="1">
      <c r="R918" s="11"/>
    </row>
    <row r="919" ht="14.25" customHeight="1">
      <c r="R919" s="11"/>
    </row>
    <row r="920" ht="14.25" customHeight="1">
      <c r="R920" s="11"/>
    </row>
    <row r="921" ht="14.25" customHeight="1">
      <c r="R921" s="11"/>
    </row>
    <row r="922" ht="14.25" customHeight="1">
      <c r="R922" s="11"/>
    </row>
    <row r="923" ht="14.25" customHeight="1">
      <c r="R923" s="11"/>
    </row>
    <row r="924" ht="14.25" customHeight="1">
      <c r="R924" s="11"/>
    </row>
    <row r="925" ht="14.25" customHeight="1">
      <c r="R925" s="11"/>
    </row>
    <row r="926" ht="14.25" customHeight="1">
      <c r="R926" s="11"/>
    </row>
    <row r="927" ht="14.25" customHeight="1">
      <c r="R927" s="11"/>
    </row>
    <row r="928" ht="14.25" customHeight="1">
      <c r="R928" s="11"/>
    </row>
    <row r="929" ht="14.25" customHeight="1">
      <c r="R929" s="11"/>
    </row>
    <row r="930" ht="14.25" customHeight="1">
      <c r="R930" s="11"/>
    </row>
    <row r="931" ht="14.25" customHeight="1">
      <c r="R931" s="11"/>
    </row>
    <row r="932" ht="14.25" customHeight="1">
      <c r="R932" s="11"/>
    </row>
    <row r="933" ht="14.25" customHeight="1">
      <c r="R933" s="11"/>
    </row>
    <row r="934" ht="14.25" customHeight="1">
      <c r="R934" s="11"/>
    </row>
    <row r="935" ht="14.25" customHeight="1">
      <c r="R935" s="11"/>
    </row>
    <row r="936" ht="14.25" customHeight="1">
      <c r="R936" s="11"/>
    </row>
    <row r="937" ht="14.25" customHeight="1">
      <c r="R937" s="11"/>
    </row>
    <row r="938" ht="14.25" customHeight="1">
      <c r="R938" s="11"/>
    </row>
    <row r="939" ht="14.25" customHeight="1">
      <c r="R939" s="11"/>
    </row>
    <row r="940" ht="14.25" customHeight="1">
      <c r="R940" s="11"/>
    </row>
    <row r="941" ht="14.25" customHeight="1">
      <c r="R941" s="11"/>
    </row>
    <row r="942" ht="14.25" customHeight="1">
      <c r="R942" s="11"/>
    </row>
    <row r="943" ht="14.25" customHeight="1">
      <c r="R943" s="11"/>
    </row>
    <row r="944" ht="14.25" customHeight="1">
      <c r="R944" s="11"/>
    </row>
    <row r="945" ht="14.25" customHeight="1">
      <c r="R945" s="11"/>
    </row>
    <row r="946" ht="14.25" customHeight="1">
      <c r="R946" s="11"/>
    </row>
    <row r="947" ht="14.25" customHeight="1">
      <c r="R947" s="11"/>
    </row>
    <row r="948" ht="14.25" customHeight="1">
      <c r="R948" s="11"/>
    </row>
    <row r="949" ht="14.25" customHeight="1">
      <c r="R949" s="11"/>
    </row>
    <row r="950" ht="14.25" customHeight="1">
      <c r="R950" s="11"/>
    </row>
    <row r="951" ht="14.25" customHeight="1">
      <c r="R951" s="11"/>
    </row>
    <row r="952" ht="14.25" customHeight="1">
      <c r="R952" s="11"/>
    </row>
    <row r="953" ht="14.25" customHeight="1">
      <c r="R953" s="11"/>
    </row>
    <row r="954" ht="14.25" customHeight="1">
      <c r="R954" s="11"/>
    </row>
    <row r="955" ht="14.25" customHeight="1">
      <c r="R955" s="11"/>
    </row>
    <row r="956" ht="14.25" customHeight="1">
      <c r="R956" s="11"/>
    </row>
    <row r="957" ht="14.25" customHeight="1">
      <c r="R957" s="11"/>
    </row>
    <row r="958" ht="14.25" customHeight="1">
      <c r="R958" s="11"/>
    </row>
    <row r="959" ht="14.25" customHeight="1">
      <c r="R959" s="11"/>
    </row>
    <row r="960" ht="14.25" customHeight="1">
      <c r="R960" s="11"/>
    </row>
    <row r="961" ht="14.25" customHeight="1">
      <c r="R961" s="11"/>
    </row>
    <row r="962" ht="14.25" customHeight="1">
      <c r="R962" s="11"/>
    </row>
    <row r="963" ht="14.25" customHeight="1">
      <c r="R963" s="11"/>
    </row>
    <row r="964" ht="14.25" customHeight="1">
      <c r="R964" s="11"/>
    </row>
    <row r="965" ht="14.25" customHeight="1">
      <c r="R965" s="11"/>
    </row>
    <row r="966" ht="14.25" customHeight="1">
      <c r="R966" s="11"/>
    </row>
    <row r="967" ht="14.25" customHeight="1">
      <c r="R967" s="11"/>
    </row>
    <row r="968" ht="14.25" customHeight="1">
      <c r="R968" s="11"/>
    </row>
    <row r="969" ht="14.25" customHeight="1">
      <c r="R969" s="11"/>
    </row>
    <row r="970" ht="14.25" customHeight="1">
      <c r="R970" s="11"/>
    </row>
    <row r="971" ht="14.25" customHeight="1">
      <c r="R971" s="11"/>
    </row>
    <row r="972" ht="14.25" customHeight="1">
      <c r="R972" s="11"/>
    </row>
    <row r="973" ht="14.25" customHeight="1">
      <c r="R973" s="11"/>
    </row>
    <row r="974" ht="14.25" customHeight="1">
      <c r="R974" s="11"/>
    </row>
    <row r="975" ht="14.25" customHeight="1">
      <c r="R975" s="11"/>
    </row>
    <row r="976" ht="14.25" customHeight="1">
      <c r="R976" s="11"/>
    </row>
    <row r="977" ht="14.25" customHeight="1">
      <c r="R977" s="11"/>
    </row>
    <row r="978" ht="14.25" customHeight="1">
      <c r="R978" s="11"/>
    </row>
    <row r="979" ht="14.25" customHeight="1">
      <c r="R979" s="11"/>
    </row>
    <row r="980" ht="14.25" customHeight="1">
      <c r="R980" s="11"/>
    </row>
    <row r="981" ht="14.25" customHeight="1">
      <c r="R981" s="11"/>
    </row>
    <row r="982" ht="14.25" customHeight="1">
      <c r="R982" s="11"/>
    </row>
    <row r="983" ht="14.25" customHeight="1">
      <c r="R983" s="11"/>
    </row>
    <row r="984" ht="14.25" customHeight="1">
      <c r="R984" s="11"/>
    </row>
    <row r="985" ht="14.25" customHeight="1">
      <c r="R985" s="11"/>
    </row>
    <row r="986" ht="14.25" customHeight="1">
      <c r="R986" s="11"/>
    </row>
    <row r="987" ht="14.25" customHeight="1">
      <c r="R987" s="11"/>
    </row>
    <row r="988" ht="14.25" customHeight="1">
      <c r="R988" s="11"/>
    </row>
    <row r="989" ht="14.25" customHeight="1">
      <c r="R989" s="11"/>
    </row>
    <row r="990" ht="14.25" customHeight="1">
      <c r="R990" s="11"/>
    </row>
    <row r="991" ht="14.25" customHeight="1">
      <c r="R991" s="11"/>
    </row>
    <row r="992" ht="14.25" customHeight="1">
      <c r="R992" s="11"/>
    </row>
    <row r="993" ht="14.25" customHeight="1">
      <c r="R993" s="11"/>
    </row>
    <row r="994" ht="14.25" customHeight="1">
      <c r="R994" s="11"/>
    </row>
    <row r="995" ht="14.25" customHeight="1">
      <c r="R995" s="11"/>
    </row>
    <row r="996" ht="14.25" customHeight="1">
      <c r="R996" s="11"/>
    </row>
    <row r="997" ht="14.25" customHeight="1">
      <c r="R997" s="11"/>
    </row>
    <row r="998" ht="14.25" customHeight="1">
      <c r="R998" s="11"/>
    </row>
    <row r="999" ht="14.25" customHeight="1">
      <c r="R999" s="11"/>
    </row>
    <row r="1000" ht="14.25" customHeight="1">
      <c r="R1000" s="11"/>
    </row>
    <row r="1001" ht="14.25" customHeight="1">
      <c r="R1001" s="11"/>
    </row>
    <row r="1002" ht="14.25" customHeight="1">
      <c r="R1002" s="11"/>
    </row>
    <row r="1003" ht="14.25" customHeight="1">
      <c r="R1003" s="11"/>
    </row>
    <row r="1004" ht="14.25" customHeight="1">
      <c r="R1004" s="11"/>
    </row>
    <row r="1005" ht="14.25" customHeight="1">
      <c r="R1005" s="11"/>
    </row>
    <row r="1006" ht="14.25" customHeight="1">
      <c r="R1006" s="11"/>
    </row>
    <row r="1007" ht="14.25" customHeight="1">
      <c r="R1007" s="11"/>
    </row>
    <row r="1008" ht="14.25" customHeight="1">
      <c r="R1008" s="11"/>
    </row>
    <row r="1009" ht="14.25" customHeight="1">
      <c r="R1009" s="11"/>
    </row>
    <row r="1010" ht="14.25" customHeight="1">
      <c r="R1010" s="11"/>
    </row>
    <row r="1011" ht="14.25" customHeight="1">
      <c r="R1011" s="11"/>
    </row>
    <row r="1012" ht="14.25" customHeight="1">
      <c r="R1012" s="11"/>
    </row>
    <row r="1013" ht="14.25" customHeight="1">
      <c r="R1013" s="11"/>
    </row>
    <row r="1014" ht="14.25" customHeight="1">
      <c r="R1014" s="11"/>
    </row>
    <row r="1015" ht="14.25" customHeight="1">
      <c r="R1015" s="11"/>
    </row>
    <row r="1016" ht="14.25" customHeight="1">
      <c r="R1016" s="11"/>
    </row>
    <row r="1017" ht="14.25" customHeight="1">
      <c r="R1017" s="11"/>
    </row>
    <row r="1018" ht="14.25" customHeight="1">
      <c r="R1018" s="11"/>
    </row>
    <row r="1019" ht="14.25" customHeight="1">
      <c r="R1019" s="11"/>
    </row>
    <row r="1020" ht="14.25" customHeight="1">
      <c r="R1020" s="11"/>
    </row>
  </sheetData>
  <conditionalFormatting sqref="C77:Q79">
    <cfRule type="expression" dxfId="0" priority="1">
      <formula>#REF!="EMEA"</formula>
    </cfRule>
  </conditionalFormatting>
  <dataValidations>
    <dataValidation type="list" allowBlank="1" showErrorMessage="1" sqref="C21:Q21">
      <formula1>"Yes,No"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32.43"/>
    <col customWidth="1" min="3" max="3" width="13.43"/>
    <col customWidth="1" min="4" max="4" width="8.86"/>
    <col customWidth="1" min="5" max="5" width="1.86"/>
    <col customWidth="1" min="6" max="6" width="30.86"/>
    <col customWidth="1" min="7" max="7" width="13.43"/>
    <col customWidth="1" min="8" max="8" width="8.86"/>
    <col customWidth="1" min="9" max="9" width="1.86"/>
    <col customWidth="1" min="10" max="10" width="30.86"/>
    <col customWidth="1" min="11" max="11" width="13.43"/>
    <col customWidth="1" min="12" max="12" width="8.86"/>
    <col customWidth="1" min="13" max="13" width="1.86"/>
    <col customWidth="1" min="14" max="14" width="11.43"/>
    <col customWidth="1" min="15" max="16" width="13.43"/>
    <col customWidth="1" min="17" max="17" width="5.86"/>
    <col customWidth="1" min="18" max="18" width="10.86"/>
    <col customWidth="1" min="19" max="19" width="13.43"/>
    <col customWidth="1" min="20" max="21" width="10.86"/>
    <col customWidth="1" min="22" max="22" width="10.43"/>
    <col customWidth="1" min="23" max="24" width="8.86"/>
    <col customWidth="1" min="25" max="25" width="11.14"/>
    <col customWidth="1" min="26" max="26" width="6.43"/>
    <col customWidth="1" min="27" max="29" width="8.86"/>
    <col customWidth="1" min="30" max="30" width="1.86"/>
    <col customWidth="1" min="31" max="31" width="11.43"/>
    <col customWidth="1" min="32" max="33" width="13.43"/>
    <col customWidth="1" min="34" max="34" width="5.86"/>
    <col customWidth="1" min="35" max="35" width="10.86"/>
    <col customWidth="1" min="36" max="36" width="13.43"/>
    <col customWidth="1" min="37" max="38" width="10.86"/>
    <col customWidth="1" min="39" max="39" width="10.43"/>
    <col customWidth="1" min="40" max="41" width="8.86"/>
    <col customWidth="1" min="42" max="42" width="11.14"/>
    <col customWidth="1" min="43" max="43" width="6.43"/>
    <col customWidth="1" min="44" max="45" width="8.86"/>
  </cols>
  <sheetData>
    <row r="1" ht="14.25" customHeight="1"/>
    <row r="2" ht="27.0" customHeight="1">
      <c r="A2" s="64" t="s">
        <v>45</v>
      </c>
      <c r="B2" s="65" t="str">
        <f>MID(CELL("filename",A1),SEARCH("[",CELL("filename",A1))+1,LEN(CELL("filename",A1))-SEARCH("[",CELL("filename",A1))-15)</f>
        <v>#VALUE!</v>
      </c>
      <c r="C2" s="66"/>
      <c r="D2" s="66"/>
      <c r="E2" s="66"/>
      <c r="F2" s="67" t="str">
        <f>IF(Universal!printer_index&lt;10,"SHOP SYSTEM",IF(Universal!printer_index&lt;13,"PRODUCTION SYSTEM","X-SERIES"))</f>
        <v>SHOP SYSTEM</v>
      </c>
      <c r="G2" s="68"/>
      <c r="H2" s="66"/>
      <c r="I2" s="66"/>
      <c r="J2" s="66"/>
      <c r="K2" s="69" t="s">
        <v>215</v>
      </c>
      <c r="L2" s="64"/>
      <c r="M2" s="64" t="s">
        <v>45</v>
      </c>
      <c r="N2" s="65" t="str">
        <f>Universal!printer_sel&amp;" part cost outputs with depreciation"</f>
        <v>Shop_12L part cost outputs with depreciation</v>
      </c>
      <c r="O2" s="66"/>
      <c r="P2" s="66"/>
      <c r="Q2" s="66"/>
      <c r="R2" s="66"/>
      <c r="S2" s="66"/>
      <c r="T2" s="70"/>
      <c r="U2" s="71"/>
      <c r="V2" s="71"/>
      <c r="W2" s="71"/>
      <c r="X2" s="71"/>
      <c r="Y2" s="71"/>
      <c r="Z2" s="71"/>
      <c r="AA2" s="71"/>
      <c r="AB2" s="72"/>
      <c r="AC2" s="64"/>
      <c r="AD2" s="64" t="s">
        <v>45</v>
      </c>
      <c r="AE2" s="73" t="str">
        <f>Universal!printer_sel&amp;" part cost outputs without depreciation"</f>
        <v>Shop_12L part cost outputs without depreciation</v>
      </c>
      <c r="AF2" s="74"/>
      <c r="AG2" s="74"/>
      <c r="AH2" s="74"/>
      <c r="AI2" s="74"/>
      <c r="AJ2" s="74"/>
      <c r="AK2" s="75"/>
      <c r="AL2" s="71"/>
      <c r="AM2" s="71"/>
      <c r="AN2" s="71"/>
      <c r="AO2" s="71"/>
      <c r="AP2" s="71"/>
      <c r="AQ2" s="71"/>
      <c r="AR2" s="71"/>
      <c r="AS2" s="72"/>
      <c r="AT2" s="64"/>
    </row>
    <row r="3" ht="14.25" customHeight="1">
      <c r="G3" s="76"/>
      <c r="N3" s="77" t="s">
        <v>216</v>
      </c>
      <c r="P3" s="78">
        <f>G20+G35+G47+K34</f>
        <v>345955</v>
      </c>
      <c r="Q3" s="79"/>
      <c r="R3" s="10" t="str">
        <f>"Printed parts / build"</f>
        <v>Printed parts / build</v>
      </c>
      <c r="T3" s="80">
        <f>Universal!parts_job</f>
        <v>135</v>
      </c>
      <c r="AB3" s="81"/>
      <c r="AE3" s="82" t="s">
        <v>216</v>
      </c>
      <c r="AF3" s="83"/>
      <c r="AG3" s="84">
        <f>G20+G35+G47+K34</f>
        <v>345955</v>
      </c>
      <c r="AH3" s="83"/>
      <c r="AI3" s="83" t="str">
        <f>"Printed parts / build"</f>
        <v>Printed parts / build</v>
      </c>
      <c r="AJ3" s="83"/>
      <c r="AK3" s="85">
        <f>Universal!parts_job</f>
        <v>135</v>
      </c>
      <c r="AS3" s="81"/>
    </row>
    <row r="4" ht="14.25" customHeight="1">
      <c r="A4" s="10" t="s">
        <v>45</v>
      </c>
      <c r="B4" s="86" t="s">
        <v>217</v>
      </c>
      <c r="C4" s="87"/>
      <c r="E4" s="10" t="s">
        <v>45</v>
      </c>
      <c r="F4" s="86" t="s">
        <v>218</v>
      </c>
      <c r="G4" s="87"/>
      <c r="I4" s="10" t="s">
        <v>45</v>
      </c>
      <c r="J4" s="86" t="s">
        <v>219</v>
      </c>
      <c r="K4" s="87"/>
      <c r="N4" s="77" t="s">
        <v>193</v>
      </c>
      <c r="P4" s="78">
        <f>K17</f>
        <v>210000</v>
      </c>
      <c r="R4" s="10" t="s">
        <v>220</v>
      </c>
      <c r="T4" s="88">
        <f>G17</f>
        <v>0.5156846073</v>
      </c>
      <c r="AB4" s="81"/>
      <c r="AE4" s="89" t="s">
        <v>193</v>
      </c>
      <c r="AF4" s="10"/>
      <c r="AG4" s="78">
        <f>K17</f>
        <v>210000</v>
      </c>
      <c r="AH4" s="10"/>
      <c r="AI4" s="10" t="s">
        <v>220</v>
      </c>
      <c r="AJ4" s="10"/>
      <c r="AK4" s="90">
        <f>G17</f>
        <v>0.5156846073</v>
      </c>
      <c r="AS4" s="81"/>
    </row>
    <row r="5" ht="14.25" customHeight="1">
      <c r="B5" s="91" t="s">
        <v>221</v>
      </c>
      <c r="C5" s="92">
        <v>30.0</v>
      </c>
      <c r="D5" s="10" t="s">
        <v>55</v>
      </c>
      <c r="F5" s="91" t="s">
        <v>222</v>
      </c>
      <c r="G5" s="93">
        <f>Universal!part_vol_scale*Universal!bed_density</f>
        <v>18760.86577</v>
      </c>
      <c r="H5" s="10" t="s">
        <v>223</v>
      </c>
      <c r="J5" s="91" t="s">
        <v>224</v>
      </c>
      <c r="K5" s="94" t="str">
        <f>Universal!furnace_sel</f>
        <v>DM PureSinter</v>
      </c>
      <c r="L5" s="95"/>
      <c r="N5" s="96" t="s">
        <v>225</v>
      </c>
      <c r="O5" s="96"/>
      <c r="P5" s="97">
        <f>SUM(P3:P4)</f>
        <v>555955</v>
      </c>
      <c r="T5" s="98"/>
      <c r="AB5" s="81"/>
      <c r="AE5" s="99" t="s">
        <v>225</v>
      </c>
      <c r="AF5" s="96"/>
      <c r="AG5" s="97">
        <f>SUM(AG3:AG4)</f>
        <v>555955</v>
      </c>
      <c r="AH5" s="10"/>
      <c r="AI5" s="10"/>
      <c r="AJ5" s="10"/>
      <c r="AK5" s="100"/>
      <c r="AS5" s="81"/>
    </row>
    <row r="6" ht="14.25" customHeight="1">
      <c r="B6" s="77" t="s">
        <v>226</v>
      </c>
      <c r="C6" s="92">
        <v>30.0</v>
      </c>
      <c r="D6" s="10" t="s">
        <v>55</v>
      </c>
      <c r="F6" s="77" t="s">
        <v>227</v>
      </c>
      <c r="G6" s="101">
        <f>G5*Universal!density_selected*10^3</f>
        <v>145.209101</v>
      </c>
      <c r="H6" s="10" t="s">
        <v>228</v>
      </c>
      <c r="J6" s="77" t="s">
        <v>180</v>
      </c>
      <c r="K6" s="102">
        <f>Universal!furnace_x_dim</f>
        <v>244</v>
      </c>
      <c r="L6" s="10" t="s">
        <v>55</v>
      </c>
      <c r="N6" s="103" t="str">
        <f>Universal!printer_sel&amp;" printers req."</f>
        <v>Shop_12L printers req.</v>
      </c>
      <c r="O6" s="11"/>
      <c r="P6" s="104">
        <f>G11</f>
        <v>1</v>
      </c>
      <c r="R6" s="10" t="s">
        <v>229</v>
      </c>
      <c r="T6" s="105">
        <f>T8/Universal!weeks_yr</f>
        <v>3.29218107</v>
      </c>
      <c r="AB6" s="81"/>
      <c r="AE6" s="106" t="str">
        <f>Universal!printer_sel&amp;" printers req."</f>
        <v>Shop_12L printers req.</v>
      </c>
      <c r="AF6" s="11"/>
      <c r="AG6" s="104">
        <f>G11</f>
        <v>1</v>
      </c>
      <c r="AH6" s="10"/>
      <c r="AI6" s="10" t="s">
        <v>229</v>
      </c>
      <c r="AJ6" s="10"/>
      <c r="AK6" s="107">
        <f>AK8/Universal!weeks_yr</f>
        <v>3.29218107</v>
      </c>
      <c r="AS6" s="81"/>
    </row>
    <row r="7" ht="14.25" customHeight="1">
      <c r="B7" s="77" t="s">
        <v>230</v>
      </c>
      <c r="C7" s="92">
        <v>30.0</v>
      </c>
      <c r="D7" s="10" t="s">
        <v>55</v>
      </c>
      <c r="F7" s="77" t="s">
        <v>231</v>
      </c>
      <c r="G7" s="108">
        <f>(G6*Universal!parts_job)/10^3+((Universal!build_vol*Universal!bed_density*Universal!density_selected*Universal!powder_ratio)-(G6*Universal!parts_job)/1000)*Universal!powder_loss_percentage</f>
        <v>19.84733839</v>
      </c>
      <c r="H7" s="10" t="s">
        <v>87</v>
      </c>
      <c r="J7" s="77" t="s">
        <v>181</v>
      </c>
      <c r="K7" s="102">
        <f>Universal!furnace_y_dim</f>
        <v>270</v>
      </c>
      <c r="L7" s="10" t="s">
        <v>55</v>
      </c>
      <c r="N7" s="103" t="s">
        <v>232</v>
      </c>
      <c r="P7" s="109">
        <f>K15</f>
        <v>1</v>
      </c>
      <c r="R7" s="10" t="s">
        <v>233</v>
      </c>
      <c r="T7" s="105">
        <f>T6*4</f>
        <v>13.16872428</v>
      </c>
      <c r="AB7" s="81"/>
      <c r="AE7" s="106" t="s">
        <v>232</v>
      </c>
      <c r="AF7" s="10"/>
      <c r="AG7" s="109">
        <f>K15</f>
        <v>1</v>
      </c>
      <c r="AH7" s="10"/>
      <c r="AI7" s="10" t="s">
        <v>233</v>
      </c>
      <c r="AJ7" s="10"/>
      <c r="AK7" s="107">
        <f>T6*4</f>
        <v>13.16872428</v>
      </c>
      <c r="AS7" s="81"/>
    </row>
    <row r="8" ht="14.25" customHeight="1">
      <c r="B8" s="77" t="s">
        <v>234</v>
      </c>
      <c r="C8" s="92">
        <v>20208.8</v>
      </c>
      <c r="D8" s="10" t="s">
        <v>223</v>
      </c>
      <c r="F8" s="77" t="s">
        <v>235</v>
      </c>
      <c r="G8" s="110">
        <f>Universal!part_vol_scale*(1-Universal!bed_density)*Universal!binder_void_ratio</f>
        <v>10050.4638</v>
      </c>
      <c r="H8" s="10" t="s">
        <v>223</v>
      </c>
      <c r="J8" s="77" t="s">
        <v>182</v>
      </c>
      <c r="K8" s="102">
        <f>Universal!furnace_z_dim</f>
        <v>265</v>
      </c>
      <c r="L8" s="10" t="s">
        <v>55</v>
      </c>
      <c r="N8" s="77"/>
      <c r="R8" s="10" t="s">
        <v>236</v>
      </c>
      <c r="T8" s="105">
        <f>Universal!total_builds_yr</f>
        <v>164.6090535</v>
      </c>
      <c r="AB8" s="81"/>
      <c r="AE8" s="89"/>
      <c r="AF8" s="10"/>
      <c r="AG8" s="10"/>
      <c r="AH8" s="10"/>
      <c r="AI8" s="10" t="s">
        <v>236</v>
      </c>
      <c r="AJ8" s="10"/>
      <c r="AK8" s="107">
        <f>Universal!total_builds_yr</f>
        <v>164.6090535</v>
      </c>
      <c r="AS8" s="81"/>
    </row>
    <row r="9" ht="14.25" customHeight="1">
      <c r="B9" s="77" t="s">
        <v>237</v>
      </c>
      <c r="C9" s="111" t="str">
        <f>IF(Universal!printer_index&lt;13,"0",IF(C14="TurboFuse",(Universal!part_scale_x*Universal!part_scale_y),"0"))</f>
        <v>0</v>
      </c>
      <c r="D9" s="10" t="s">
        <v>223</v>
      </c>
      <c r="F9" s="77" t="s">
        <v>238</v>
      </c>
      <c r="G9" s="112">
        <f>IF(Universal!printer_index&lt;12,((Universal!parts_job*G8)/10^6)+((Universal!binder_purge_vol*(Universal!build_layers/Universal!binder_purge_freq))/10^3),(G8*Universal!parts_job/10^6+(Universal!build_layers/Universal!binder_purge_freq+2)*Universal!binder_purge_vol/10^3-IF(VLOOKUP(Inputs!$B$20,Inputs!$B:$Q,Universal!printer_index+1,0)="No",((C20-1)*Universal!printer_z_spacing+Universal!printer_z_base)/Universal!layer_thickness_sel/Universal!binder_purge_freq*Universal!binder_purge_vol/10^3,0)))</f>
        <v>1.499218864</v>
      </c>
      <c r="H9" s="10" t="s">
        <v>95</v>
      </c>
      <c r="J9" s="77" t="s">
        <v>239</v>
      </c>
      <c r="K9" s="113">
        <f>IF(Universal!furnace_sel="Continuous",Universal!part_req,ROUNDDOWN((Universal!furnace_x_dim+Universal!furnace_xy_spacing)/(Universal!furnace_part_scale_x+Universal!furnace_xy_spacing),0)*ROUNDDOWN((Universal!furnace_y_dim+Universal!furnace_xy_spacing)/(Universal!furnace_part_scale_y+Universal!furnace_xy_spacing),0)*MIN(Universal!furnace_shelves,ROUNDDOWN(Universal!furnace_z_dim/(Universal!furnace_part_scale_z+Universal!furnace_rack_thickness+Universal!furnace_z_spacing),0)))</f>
        <v>216</v>
      </c>
      <c r="N9" s="114" t="s">
        <v>240</v>
      </c>
      <c r="T9" s="115"/>
      <c r="AB9" s="81"/>
      <c r="AE9" s="89"/>
      <c r="AF9" s="10"/>
      <c r="AG9" s="10"/>
      <c r="AH9" s="10"/>
      <c r="AI9" s="10"/>
      <c r="AJ9" s="10"/>
      <c r="AK9" s="116"/>
      <c r="AS9" s="81"/>
    </row>
    <row r="10" ht="14.25" customHeight="1">
      <c r="B10" s="77" t="s">
        <v>241</v>
      </c>
      <c r="C10" s="117">
        <f>Universal!part_only_vol+Universal!support_vol</f>
        <v>20208.8</v>
      </c>
      <c r="D10" s="10" t="s">
        <v>223</v>
      </c>
      <c r="F10" s="77" t="s">
        <v>242</v>
      </c>
      <c r="G10" s="118" t="str">
        <f>IF(Universal!printer_index&lt;13,"",(Universal!build_layers/Universal!cleaner_freq)*Universal!cleaner_cycle_vol/10^3)</f>
        <v/>
      </c>
      <c r="H10" s="10" t="s">
        <v>95</v>
      </c>
      <c r="J10" s="77" t="s">
        <v>243</v>
      </c>
      <c r="K10" s="119">
        <f>C58</f>
        <v>500</v>
      </c>
      <c r="N10" s="91" t="s">
        <v>244</v>
      </c>
      <c r="O10" s="115"/>
      <c r="P10" s="120">
        <f>P32+P33+P35+P36</f>
        <v>14.64101771</v>
      </c>
      <c r="Q10" s="121"/>
      <c r="R10" s="10" t="str">
        <f>IF($C$15="Yes","Sintered","Green")&amp;" parts / week"</f>
        <v>Sintered parts / week</v>
      </c>
      <c r="T10" s="80">
        <f>T12/Universal!weeks_yr</f>
        <v>400</v>
      </c>
      <c r="AB10" s="81"/>
      <c r="AE10" s="89"/>
      <c r="AF10" s="10"/>
      <c r="AG10" s="10"/>
      <c r="AH10" s="121"/>
      <c r="AI10" s="10" t="str">
        <f>IF($C$15="Yes","Sintered","Green")&amp;" parts / week"</f>
        <v>Sintered parts / week</v>
      </c>
      <c r="AJ10" s="10"/>
      <c r="AK10" s="122">
        <f>T12/Universal!weeks_yr</f>
        <v>400</v>
      </c>
      <c r="AS10" s="81"/>
    </row>
    <row r="11" ht="14.25" customHeight="1">
      <c r="B11" s="123"/>
      <c r="C11" s="123"/>
      <c r="F11" s="77" t="s">
        <v>245</v>
      </c>
      <c r="G11" s="110">
        <f>ROUNDUP(Universal!part_req/Universal!part_capacity,0)</f>
        <v>1</v>
      </c>
      <c r="H11" s="124"/>
      <c r="J11" s="77" t="s">
        <v>246</v>
      </c>
      <c r="K11" s="125">
        <f>Universal!furnace_time_cycle+K9/K10*2</f>
        <v>23.864</v>
      </c>
      <c r="L11" s="10" t="s">
        <v>81</v>
      </c>
      <c r="N11" s="77" t="str">
        <f>IF(C15="Yes","Sintered","Green")&amp;" part cost"</f>
        <v>Sintered part cost</v>
      </c>
      <c r="O11" s="81"/>
      <c r="P11" s="126">
        <f>T38-T34-T37</f>
        <v>17.32482758</v>
      </c>
      <c r="Q11" s="121"/>
      <c r="R11" s="10" t="str">
        <f>IF($C$15="Yes","Sintered","Green")&amp;" parts / month"</f>
        <v>Sintered parts / month</v>
      </c>
      <c r="T11" s="105">
        <f>T10*4</f>
        <v>1600</v>
      </c>
      <c r="AB11" s="81"/>
      <c r="AE11" s="127" t="s">
        <v>240</v>
      </c>
      <c r="AF11" s="10"/>
      <c r="AG11" s="10"/>
      <c r="AH11" s="121"/>
      <c r="AI11" s="10" t="str">
        <f>IF($C$15="Yes","Sintered","Green")&amp;" parts / month"</f>
        <v>Sintered parts / month</v>
      </c>
      <c r="AJ11" s="10"/>
      <c r="AK11" s="107">
        <f>T10*4</f>
        <v>1600</v>
      </c>
      <c r="AS11" s="81"/>
    </row>
    <row r="12" ht="14.25" customHeight="1">
      <c r="A12" s="10" t="s">
        <v>45</v>
      </c>
      <c r="B12" s="128" t="s">
        <v>247</v>
      </c>
      <c r="C12" s="129"/>
      <c r="F12" s="77" t="s">
        <v>248</v>
      </c>
      <c r="G12" s="119">
        <f>Universal!part_req/Universal!good_parts_job*Universal!print_time_trn</f>
        <v>1888.157293</v>
      </c>
      <c r="H12" s="10" t="s">
        <v>81</v>
      </c>
      <c r="J12" s="77" t="s">
        <v>249</v>
      </c>
      <c r="K12" s="130">
        <f>IFERROR(Universal!good_parts_job/K9*K11,"N.A.")</f>
        <v>13.4235</v>
      </c>
      <c r="L12" s="10" t="s">
        <v>81</v>
      </c>
      <c r="N12" s="91" t="str">
        <f t="shared" ref="N12:N13" si="1">N10&amp;" / cc"</f>
        <v>Printed part cost / cc</v>
      </c>
      <c r="O12" s="131"/>
      <c r="P12" s="120">
        <f>P10/Universal!part_only_vol*10^3</f>
        <v>0.7244872385</v>
      </c>
      <c r="Q12" s="121"/>
      <c r="R12" s="10" t="str">
        <f>IF($C$15="Yes","Sintered","Green")&amp;" parts / year"</f>
        <v>Sintered parts / year</v>
      </c>
      <c r="T12" s="132">
        <f>Universal!part_req</f>
        <v>20000</v>
      </c>
      <c r="AB12" s="81"/>
      <c r="AE12" s="133" t="s">
        <v>244</v>
      </c>
      <c r="AF12" s="115"/>
      <c r="AG12" s="120">
        <f>P32+P33+P35+P36</f>
        <v>14.64101771</v>
      </c>
      <c r="AH12" s="121"/>
      <c r="AI12" s="10" t="str">
        <f>IF($C$15="Yes","Sintered","Green")&amp;" parts / year"</f>
        <v>Sintered parts / year</v>
      </c>
      <c r="AJ12" s="10"/>
      <c r="AK12" s="134">
        <f>Universal!part_req</f>
        <v>20000</v>
      </c>
      <c r="AS12" s="81"/>
    </row>
    <row r="13" ht="14.25" customHeight="1">
      <c r="B13" s="91" t="s">
        <v>250</v>
      </c>
      <c r="C13" s="135" t="s">
        <v>32</v>
      </c>
      <c r="F13" s="77" t="s">
        <v>251</v>
      </c>
      <c r="G13" s="119">
        <f>Universal!part_req/Universal!good_parts_job</f>
        <v>164.6090535</v>
      </c>
      <c r="J13" s="77" t="s">
        <v>252</v>
      </c>
      <c r="K13" s="119">
        <f>IF(Universal!furnace_sel="Continuous",(240000/2.2)/(Universal!good_parts_job*Universal!part_vol*Universal!density_selected),ROUNDDOWN(Universal!total_hours_yr/K12,0))</f>
        <v>625</v>
      </c>
      <c r="N13" s="136" t="str">
        <f t="shared" si="1"/>
        <v>Sintered part cost / cc</v>
      </c>
      <c r="O13" s="137"/>
      <c r="P13" s="138">
        <f>P11/Universal!part_only_vol*10^3</f>
        <v>0.8572912583</v>
      </c>
      <c r="Q13" s="121"/>
      <c r="T13" s="119"/>
      <c r="AB13" s="81"/>
      <c r="AE13" s="89" t="str">
        <f>IF(C15="Yes","Sintered","Green")&amp;" part cost"</f>
        <v>Sintered part cost</v>
      </c>
      <c r="AF13" s="81"/>
      <c r="AG13" s="126">
        <f>T38-T34-T37</f>
        <v>17.32482758</v>
      </c>
      <c r="AH13" s="121"/>
      <c r="AI13" s="10"/>
      <c r="AJ13" s="10"/>
      <c r="AK13" s="139"/>
      <c r="AS13" s="81"/>
    </row>
    <row r="14" ht="14.25" customHeight="1">
      <c r="B14" s="77" t="s">
        <v>253</v>
      </c>
      <c r="C14" s="140"/>
      <c r="F14" s="77" t="s">
        <v>254</v>
      </c>
      <c r="G14" s="119">
        <f>G13/12</f>
        <v>13.71742112</v>
      </c>
      <c r="H14" s="76"/>
      <c r="J14" s="77" t="s">
        <v>255</v>
      </c>
      <c r="K14" s="102">
        <f>IFERROR(ROUNDUP(Universal!part_req/K9,0),"N.A.")</f>
        <v>93</v>
      </c>
      <c r="L14" s="76"/>
      <c r="N14" s="77"/>
      <c r="P14" s="124"/>
      <c r="Q14" s="121"/>
      <c r="R14" s="10" t="str">
        <f>"Printer util (QTY: "&amp;G11&amp;")"</f>
        <v>Printer util (QTY: 1)</v>
      </c>
      <c r="T14" s="141">
        <f>G15</f>
        <v>0.3371709452</v>
      </c>
      <c r="V14" s="11"/>
      <c r="AB14" s="81"/>
      <c r="AE14" s="133" t="str">
        <f t="shared" ref="AE14:AE15" si="2">AE12&amp;" / cc"</f>
        <v>Printed part cost / cc</v>
      </c>
      <c r="AF14" s="131"/>
      <c r="AG14" s="120">
        <f>AG12/Universal!part_only_vol*10^3</f>
        <v>0.7244872385</v>
      </c>
      <c r="AH14" s="121"/>
      <c r="AI14" s="10" t="str">
        <f>"Printer util (QTY: "&amp;X11&amp;")"</f>
        <v>Printer util (QTY: )</v>
      </c>
      <c r="AJ14" s="10"/>
      <c r="AK14" s="142">
        <f>G15</f>
        <v>0.3371709452</v>
      </c>
      <c r="AM14" s="11"/>
      <c r="AS14" s="81"/>
    </row>
    <row r="15" ht="14.25" customHeight="1">
      <c r="B15" s="77" t="s">
        <v>256</v>
      </c>
      <c r="C15" s="143" t="s">
        <v>67</v>
      </c>
      <c r="F15" s="77" t="s">
        <v>257</v>
      </c>
      <c r="G15" s="144">
        <f>G12/(Universal!avail_hours_yr*Universal!printers_req)</f>
        <v>0.3371709452</v>
      </c>
      <c r="H15" s="76"/>
      <c r="J15" s="77" t="s">
        <v>258</v>
      </c>
      <c r="K15" s="102">
        <f>IFERROR(ROUNDUP(Universal!total_builds_yr/K13,0),"N.A.")</f>
        <v>1</v>
      </c>
      <c r="L15" s="76"/>
      <c r="N15" s="114" t="s">
        <v>259</v>
      </c>
      <c r="P15" s="10"/>
      <c r="Q15" s="121"/>
      <c r="R15" s="10" t="str">
        <f>"Oven util (QTY: "&amp;G33&amp;")"</f>
        <v>Oven util (QTY: 1)</v>
      </c>
      <c r="T15" s="145">
        <f>G34/(G33*Universal!total_hours_yr)</f>
        <v>0.1983408453</v>
      </c>
      <c r="AB15" s="81"/>
      <c r="AE15" s="146" t="str">
        <f t="shared" si="2"/>
        <v>Sintered part cost / cc</v>
      </c>
      <c r="AF15" s="137"/>
      <c r="AG15" s="138">
        <f>AG13/Universal!part_only_vol*10^3</f>
        <v>0.8572912583</v>
      </c>
      <c r="AH15" s="121"/>
      <c r="AI15" s="10" t="str">
        <f>"Oven util (QTY: "&amp;X33&amp;")"</f>
        <v>Oven util (QTY: )</v>
      </c>
      <c r="AJ15" s="10"/>
      <c r="AK15" s="147">
        <f>G34/(G33*Universal!total_hours_yr)</f>
        <v>0.1983408453</v>
      </c>
      <c r="AS15" s="81"/>
    </row>
    <row r="16" ht="14.25" customHeight="1">
      <c r="B16" s="77" t="s">
        <v>224</v>
      </c>
      <c r="C16" s="148" t="s">
        <v>168</v>
      </c>
      <c r="D16" s="95" t="str">
        <f>IF(OR(Universal!furnace_sel="DM",Universal!furnace_sel="Continuous"),,"ft3")</f>
        <v>ft3</v>
      </c>
      <c r="F16" s="77" t="s">
        <v>260</v>
      </c>
      <c r="G16" s="144">
        <f>G12/(Universal!total_hours_yr*Universal!printers_req)</f>
        <v>0.2247806301</v>
      </c>
      <c r="H16" s="76"/>
      <c r="J16" s="77" t="s">
        <v>261</v>
      </c>
      <c r="K16" s="102">
        <f>IFERROR(K11*K14,"N.A.")</f>
        <v>2219.352</v>
      </c>
      <c r="L16" s="10" t="s">
        <v>81</v>
      </c>
      <c r="N16" s="91" t="s">
        <v>244</v>
      </c>
      <c r="O16" s="115"/>
      <c r="P16" s="120">
        <f>SUM(P32:P36)</f>
        <v>15.29351454</v>
      </c>
      <c r="Q16" s="121"/>
      <c r="R16" s="10" t="str">
        <f>"Depowder util (QTY: "&amp;G45&amp;")"</f>
        <v>Depowder util (QTY: 1)</v>
      </c>
      <c r="T16" s="145">
        <f>G46/(G45*Universal!uptime_hours_yr)</f>
        <v>0.1010435038</v>
      </c>
      <c r="AB16" s="81"/>
      <c r="AE16" s="89"/>
      <c r="AF16" s="10"/>
      <c r="AG16" s="124"/>
      <c r="AH16" s="121"/>
      <c r="AI16" s="10" t="str">
        <f>"Depowder util (QTY: "&amp;X45&amp;")"</f>
        <v>Depowder util (QTY: )</v>
      </c>
      <c r="AJ16" s="10"/>
      <c r="AK16" s="147">
        <f>G46/(G45*Universal!uptime_hours_yr)</f>
        <v>0.1010435038</v>
      </c>
      <c r="AS16" s="81"/>
    </row>
    <row r="17" ht="14.25" customHeight="1">
      <c r="B17" s="77" t="s">
        <v>262</v>
      </c>
      <c r="C17" s="149" t="s">
        <v>263</v>
      </c>
      <c r="D17" s="95"/>
      <c r="F17" s="77" t="s">
        <v>264</v>
      </c>
      <c r="G17" s="150">
        <f>Universal!part_vol_scale*Universal!parts_job/Universal!build_vol</f>
        <v>0.5156846073</v>
      </c>
      <c r="J17" s="77" t="s">
        <v>265</v>
      </c>
      <c r="K17" s="151">
        <f>IF(C15="No",0,Universal!furnace_msrp*K15)</f>
        <v>210000</v>
      </c>
      <c r="N17" s="77" t="str">
        <f>IF(C15="Yes","Sintered","Green")&amp;" part cost"</f>
        <v>Sintered part cost</v>
      </c>
      <c r="P17" s="126">
        <f>T46</f>
        <v>18.46474289</v>
      </c>
      <c r="R17" s="10" t="str">
        <f>"Furnace util (QTY: "&amp;IF(Universal!furnace_sel="DM",K15,K15)&amp;")"</f>
        <v>Furnace util (QTY: 1)</v>
      </c>
      <c r="T17" s="88">
        <f>K16/(Universal!total_hours_yr*K15)</f>
        <v>0.2642085714</v>
      </c>
      <c r="AB17" s="81"/>
      <c r="AE17" s="89"/>
      <c r="AF17" s="10"/>
      <c r="AG17" s="124"/>
      <c r="AH17" s="10"/>
      <c r="AI17" s="10" t="str">
        <f>"Furnace util (QTY: "&amp;IF(Universal!furnace_sel="DM",AB15,AB15)&amp;")"</f>
        <v>Furnace util (QTY: )</v>
      </c>
      <c r="AJ17" s="10"/>
      <c r="AK17" s="90">
        <f>K16/(Universal!total_hours_yr*K15)</f>
        <v>0.2642085714</v>
      </c>
      <c r="AS17" s="81"/>
    </row>
    <row r="18" ht="14.25" customHeight="1">
      <c r="B18" s="77" t="s">
        <v>266</v>
      </c>
      <c r="C18" s="148" t="s">
        <v>68</v>
      </c>
      <c r="D18" s="95"/>
      <c r="F18" s="123"/>
      <c r="G18" s="152"/>
      <c r="J18" s="77" t="str">
        <f>"Annual depreciation (@ "&amp;Universal!furnace_depr&amp;" yrs)"</f>
        <v>Annual depreciation (@ 7 yrs)</v>
      </c>
      <c r="K18" s="151">
        <f>K17/Universal!furnace_depr+Universal!floor_rate*K15*Universal!furnace_floorspace</f>
        <v>30152</v>
      </c>
      <c r="N18" s="91" t="s">
        <v>267</v>
      </c>
      <c r="O18" s="153"/>
      <c r="P18" s="120">
        <f>P16/Universal!part_only_vol*10^3</f>
        <v>0.7567749961</v>
      </c>
      <c r="T18" s="81"/>
      <c r="AB18" s="81"/>
      <c r="AE18" s="89"/>
      <c r="AF18" s="11"/>
      <c r="AG18" s="124"/>
      <c r="AH18" s="10"/>
      <c r="AI18" s="10"/>
      <c r="AJ18" s="10"/>
      <c r="AK18" s="154"/>
      <c r="AS18" s="81"/>
    </row>
    <row r="19" ht="14.25" customHeight="1">
      <c r="B19" s="77" t="s">
        <v>268</v>
      </c>
      <c r="C19" s="110">
        <f>ROUNDDOWN((Universal!build_x-Universal!printer_xy_border*2+Universal!printer_xy_spacing)/(Universal!part_scale_x+Universal!printer_xy_spacing),0)*ROUNDDOWN((Universal!build_y-Universal!printer_xy_border*2+Universal!printer_xy_spacing)/(Universal!part_scale_y+Universal!printer_xy_spacing),0)*ROUNDDOWN((Universal!build_z-Universal!printer_z_base+Universal!printer_z_spacing)/(Universal!part_scale_z+Universal!printer_z_spacing),0)</f>
        <v>135</v>
      </c>
      <c r="E19" s="10" t="s">
        <v>45</v>
      </c>
      <c r="F19" s="86" t="s">
        <v>269</v>
      </c>
      <c r="G19" s="87"/>
      <c r="J19" s="77" t="s">
        <v>270</v>
      </c>
      <c r="K19" s="155">
        <f>K18*K16/(Universal!total_hours_yr*K15)/Universal!part_req</f>
        <v>0.3983208423</v>
      </c>
      <c r="N19" s="156" t="str">
        <f>IF(C15="Yes","Sintered","Green")&amp;" part cost / cc"</f>
        <v>Sintered part cost / cc</v>
      </c>
      <c r="O19" s="11"/>
      <c r="P19" s="138">
        <f>P17/Universal!part_only_vol*10^3</f>
        <v>0.9136981359</v>
      </c>
      <c r="R19" s="121" t="s">
        <v>271</v>
      </c>
      <c r="S19" s="121"/>
      <c r="T19" s="119">
        <f>Universal!total_builds_yr*(Universal!print_trnaround+Universal!xlink_trnaround+G43+IF(Universal!ppu_auto_on,Universal!ppu_auto_trnaround,K26/K27*Universal!powder_trnaround))+K14*K9/K10*2</f>
        <v>742.0601304</v>
      </c>
      <c r="AB19" s="81"/>
      <c r="AE19" s="157"/>
      <c r="AF19" s="11"/>
      <c r="AG19" s="124"/>
      <c r="AH19" s="10"/>
      <c r="AI19" s="121" t="s">
        <v>271</v>
      </c>
      <c r="AJ19" s="121"/>
      <c r="AK19" s="139">
        <f>Universal!total_builds_yr*(Universal!print_trnaround+Universal!xlink_trnaround+G43+IF(Universal!ppu_auto_on,Universal!ppu_auto_trnaround,K26/K27*Universal!powder_trnaround))+K14*K9/K10*2</f>
        <v>742.0601304</v>
      </c>
      <c r="AL19" s="10"/>
      <c r="AM19" s="10"/>
      <c r="AN19" s="10"/>
      <c r="AO19" s="10"/>
      <c r="AP19" s="10"/>
      <c r="AQ19" s="10"/>
      <c r="AR19" s="10"/>
      <c r="AS19" s="81"/>
    </row>
    <row r="20" ht="14.25" customHeight="1">
      <c r="B20" s="77" t="s">
        <v>272</v>
      </c>
      <c r="C20" s="119">
        <f>Universal!printer_z_base+(Universal!part_scale_z)*ROUNDDOWN((Universal!build_z-Universal!printer_z_base+Universal!printer_z_spacing)/(Universal!part_scale_z+Universal!printer_z_spacing),0)+Universal!printer_z_spacing*(ROUNDDOWN((Universal!build_z-Universal!printer_z_base+Universal!printer_z_spacing)/(Universal!part_scale_z+Universal!printer_z_spacing),0)-1)</f>
        <v>113.9</v>
      </c>
      <c r="D20" s="10" t="s">
        <v>55</v>
      </c>
      <c r="F20" s="77" t="s">
        <v>273</v>
      </c>
      <c r="G20" s="158">
        <f>(Universal!printer_msrp+kegs_msrp)*Universal!printers_req+Universal!buildbox_msrp*build_box_qty+Universal!transfer_cart_msrp</f>
        <v>268780</v>
      </c>
      <c r="J20" s="77" t="s">
        <v>274</v>
      </c>
      <c r="K20" s="159">
        <f>Universal!furnace_consumables_run/K9</f>
        <v>0.2777777778</v>
      </c>
      <c r="L20" s="76"/>
      <c r="N20" s="160" t="s">
        <v>275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115"/>
      <c r="AE20" s="161" t="s">
        <v>275</v>
      </c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162"/>
    </row>
    <row r="21" ht="14.25" customHeight="1">
      <c r="B21" s="77" t="s">
        <v>276</v>
      </c>
      <c r="C21" s="110">
        <f>ROUNDDOWN((Universal!build_z-Universal!printer_z_base+Universal!printer_z_spacing)/(Universal!part_scale_z+Universal!printer_z_spacing),0)</f>
        <v>3</v>
      </c>
      <c r="F21" s="77" t="str">
        <f>"Annual depreciation (@ "&amp;Universal!dm_depr&amp;" yrs)"</f>
        <v>Annual depreciation (@ 7 yrs)</v>
      </c>
      <c r="G21" s="158">
        <f>G20/Universal!dm_depr+Universal!floor_rate*Universal!printers_req*Universal!printer_floorspace</f>
        <v>38704.21486</v>
      </c>
      <c r="J21" s="77" t="s">
        <v>277</v>
      </c>
      <c r="K21" s="155">
        <f>IF(C15="No",0,Universal!labor_rate*(K9/K10*2)/K9)</f>
        <v>0.08</v>
      </c>
      <c r="L21" s="163"/>
      <c r="N21" s="164" t="s">
        <v>278</v>
      </c>
      <c r="O21" s="165"/>
      <c r="Q21" s="165"/>
      <c r="R21" s="165"/>
      <c r="S21" s="165"/>
      <c r="T21" s="165"/>
      <c r="U21" s="165"/>
      <c r="AB21" s="81"/>
      <c r="AE21" s="166" t="s">
        <v>278</v>
      </c>
      <c r="AF21" s="165"/>
      <c r="AG21" s="10"/>
      <c r="AH21" s="165"/>
      <c r="AI21" s="165"/>
      <c r="AJ21" s="165"/>
      <c r="AK21" s="165"/>
      <c r="AL21" s="165"/>
      <c r="AM21" s="10"/>
      <c r="AN21" s="10"/>
      <c r="AO21" s="10"/>
      <c r="AP21" s="10"/>
      <c r="AQ21" s="10"/>
      <c r="AR21" s="10"/>
      <c r="AS21" s="154"/>
    </row>
    <row r="22" ht="14.25" customHeight="1">
      <c r="B22" s="77" t="s">
        <v>279</v>
      </c>
      <c r="C22" s="167" t="s">
        <v>68</v>
      </c>
      <c r="F22" s="77" t="s">
        <v>280</v>
      </c>
      <c r="G22" s="159">
        <f>IF(C46&lt;&gt;"",C46,Universal!powder_price)*G7/Universal!good_parts_job</f>
        <v>8.167628968</v>
      </c>
      <c r="J22" s="136" t="s">
        <v>281</v>
      </c>
      <c r="K22" s="168">
        <f>IF(Universal!furnace_sel="Continuous",Universal!furnace_utilities_hr*Universal!total_hours_yr/Universal!part_req,IF(Universal!furnace_sel="DM",(Universal!furnace_power_cons*Universal!power_rate*Universal!furnace_time_cycle+Universal!forming_gas_rate*Universal!furnace_gas_cons)/K9,(Universal!argon_rate*Universal!furnace_gas_cons+Universal!power_rate*Universal!furnace_power_cons)*Universal!furnace_time_cycle/K9))</f>
        <v>1.759074074</v>
      </c>
      <c r="L22" s="76"/>
      <c r="N22" s="164" t="str">
        <f>"2. DM Equipment MSRP includes printer build boxes ("&amp;MAX(2*G11,G33*G30+ROUNDUP(G31/Universal!print_time_trn,0))&amp;"x), powder kegs, and transfer cart."</f>
        <v>2. DM Equipment MSRP includes printer build boxes (4x), powder kegs, and transfer cart.</v>
      </c>
      <c r="Q22" s="165"/>
      <c r="R22" s="165"/>
      <c r="S22" s="165"/>
      <c r="T22" s="165"/>
      <c r="U22" s="165"/>
      <c r="AB22" s="81"/>
      <c r="AC22" s="165"/>
      <c r="AE22" s="166" t="str">
        <f>"2. DM Equipment MSRP includes printer build boxes ("&amp;MAX(2*X11,X33*X30+ROUNDUP(X31/Universal!print_time_trn,0))&amp;"x), powder kegs, and transfer cart."</f>
        <v>2. DM Equipment MSRP includes printer build boxes (0x), powder kegs, and transfer cart.</v>
      </c>
      <c r="AF22" s="10"/>
      <c r="AG22" s="10"/>
      <c r="AH22" s="165"/>
      <c r="AI22" s="165"/>
      <c r="AJ22" s="165"/>
      <c r="AK22" s="165"/>
      <c r="AL22" s="165"/>
      <c r="AM22" s="10"/>
      <c r="AN22" s="10"/>
      <c r="AO22" s="10"/>
      <c r="AP22" s="10"/>
      <c r="AQ22" s="10"/>
      <c r="AR22" s="10"/>
      <c r="AS22" s="154"/>
    </row>
    <row r="23" ht="14.25" customHeight="1">
      <c r="B23" s="77" t="s">
        <v>282</v>
      </c>
      <c r="C23" s="169">
        <v>2578.0</v>
      </c>
      <c r="F23" s="77" t="s">
        <v>283</v>
      </c>
      <c r="G23" s="159">
        <f>Universal!binder_price*G9/Universal!good_parts_job</f>
        <v>3.701774972</v>
      </c>
      <c r="H23" s="124"/>
      <c r="K23" s="10"/>
      <c r="N23" s="164" t="s">
        <v>284</v>
      </c>
      <c r="O23" s="165"/>
      <c r="Q23" s="165"/>
      <c r="R23" s="165"/>
      <c r="S23" s="165"/>
      <c r="T23" s="165"/>
      <c r="U23" s="165"/>
      <c r="AB23" s="81"/>
      <c r="AC23" s="165"/>
      <c r="AE23" s="166" t="s">
        <v>284</v>
      </c>
      <c r="AF23" s="165"/>
      <c r="AG23" s="10"/>
      <c r="AH23" s="165"/>
      <c r="AI23" s="165"/>
      <c r="AJ23" s="165"/>
      <c r="AK23" s="165"/>
      <c r="AL23" s="165"/>
      <c r="AM23" s="10"/>
      <c r="AN23" s="10"/>
      <c r="AO23" s="10"/>
      <c r="AP23" s="10"/>
      <c r="AQ23" s="10"/>
      <c r="AR23" s="10"/>
      <c r="AS23" s="154"/>
    </row>
    <row r="24" ht="14.25" customHeight="1">
      <c r="B24" s="77" t="s">
        <v>285</v>
      </c>
      <c r="C24" s="170">
        <v>125.0</v>
      </c>
      <c r="D24" s="10" t="s">
        <v>55</v>
      </c>
      <c r="F24" s="77" t="s">
        <v>286</v>
      </c>
      <c r="G24" s="159">
        <f>G21*G12/(Universal!avail_hours_yr*Universal!printers_req)/Universal!part_req</f>
        <v>0.6524968353</v>
      </c>
      <c r="I24" s="10" t="s">
        <v>45</v>
      </c>
      <c r="J24" s="86" t="s">
        <v>287</v>
      </c>
      <c r="K24" s="87"/>
      <c r="N24" s="164" t="s">
        <v>288</v>
      </c>
      <c r="O24" s="171"/>
      <c r="Q24" s="165"/>
      <c r="R24" s="165"/>
      <c r="S24" s="165"/>
      <c r="T24" s="165"/>
      <c r="U24" s="165"/>
      <c r="AB24" s="81"/>
      <c r="AC24" s="165"/>
      <c r="AE24" s="166" t="str">
        <f>"5. "&amp;T43&amp;" powder at "&amp;TEXT(IF($C$46="",Universal!powder_price,$C$46),"$0.00")&amp;"/kg and binder at "&amp;TEXT(Universal!binder_price,"$0.00")&amp;"/L. Volume pricing may be available."</f>
        <v>5. 0.480075345595028 powder at $50.00/kg and binder at $300.00/L. Volume pricing may be available.</v>
      </c>
      <c r="AF24" s="171"/>
      <c r="AG24" s="10"/>
      <c r="AH24" s="171"/>
      <c r="AI24" s="171"/>
      <c r="AJ24" s="171"/>
      <c r="AK24" s="171"/>
      <c r="AL24" s="165"/>
      <c r="AM24" s="10"/>
      <c r="AN24" s="10"/>
      <c r="AO24" s="10"/>
      <c r="AP24" s="10"/>
      <c r="AQ24" s="10"/>
      <c r="AR24" s="10"/>
      <c r="AS24" s="154"/>
    </row>
    <row r="25" ht="14.25" customHeight="1">
      <c r="B25" s="77" t="s">
        <v>289</v>
      </c>
      <c r="C25" s="169">
        <v>8.0</v>
      </c>
      <c r="F25" s="77" t="s">
        <v>290</v>
      </c>
      <c r="G25" s="159">
        <f>IF(Universal!printer_index&lt;14,Universal!printhead_msrp*Universal!build_layers/Universal!printhead_life+Universal!wiper_msrp*Universal!build_layers/Universal!wiper_life+Universal!sponge_msrp*G9/Universal!sponge_life,Universal!printhead_msrp*G9/Universal!printhead_life+IF(Universal!printer_index&gt;=14,Universal!cleaner_msrp*G10))/Universal!good_parts_job</f>
        <v>2.633177348</v>
      </c>
      <c r="H25" s="124"/>
      <c r="J25" s="77" t="s">
        <v>291</v>
      </c>
      <c r="K25" s="172" t="b">
        <f>IF(C104&lt;&gt;0,TRUE,FALSE)</f>
        <v>0</v>
      </c>
      <c r="N25" s="164" t="str">
        <f>"5. "&amp;C45&amp;" powder at "&amp;TEXT(IF($C$46="",Universal!powder_price,$C$46),"$0.00")&amp;"/kg and "&amp;C14&amp;" binder at "&amp;TEXT(Universal!binder_price,"$0.00")&amp;"/L. Volume pricing may be available."</f>
        <v>5. 17-4PH powder at $50.00/kg and  binder at $300.00/L. Volume pricing may be available.</v>
      </c>
      <c r="O25" s="171"/>
      <c r="Q25" s="171"/>
      <c r="R25" s="171"/>
      <c r="S25" s="171"/>
      <c r="T25" s="171"/>
      <c r="U25" s="171"/>
      <c r="AB25" s="81"/>
      <c r="AC25" s="165"/>
      <c r="AE25" s="166" t="str">
        <f>"6. Key process assumptions: (i) "&amp;T24*1000&amp;" micron printed layer height; (ii) $"&amp;Universal!labor_rate&amp;"/hr labor rate; (iii) Printer, depowdering, and powder handling equipment @ "&amp;T32&amp;" x "&amp;T33&amp;" x "&amp;Universal!weeks_yr&amp;" x "&amp;Universal!uptime*100&amp;"% uptime"</f>
        <v>6. Key process assumptions: (i) 0 micron printed layer height; (ii) $20/hr labor rate; (iii) Printer, depowdering, and powder handling equipment @ 11.8694039397328 x 2.91095512588277 x 50 x 80% uptime</v>
      </c>
      <c r="AF25" s="171"/>
      <c r="AG25" s="10"/>
      <c r="AH25" s="171"/>
      <c r="AI25" s="171"/>
      <c r="AJ25" s="171"/>
      <c r="AK25" s="171"/>
      <c r="AL25" s="171"/>
      <c r="AM25" s="10"/>
      <c r="AN25" s="10"/>
      <c r="AO25" s="10"/>
      <c r="AP25" s="10"/>
      <c r="AQ25" s="10"/>
      <c r="AR25" s="10"/>
      <c r="AS25" s="154"/>
    </row>
    <row r="26" ht="14.25" customHeight="1">
      <c r="B26" s="77" t="s">
        <v>292</v>
      </c>
      <c r="C26" s="173">
        <v>0.075</v>
      </c>
      <c r="D26" s="10" t="s">
        <v>55</v>
      </c>
      <c r="F26" s="77" t="s">
        <v>277</v>
      </c>
      <c r="G26" s="159">
        <f>Universal!print_trnaround*Universal!labor_rate/Universal!good_parts_job</f>
        <v>0.08230452675</v>
      </c>
      <c r="H26" s="124"/>
      <c r="J26" s="77" t="s">
        <v>293</v>
      </c>
      <c r="K26" s="172">
        <f>(Universal!build_vol*Universal!bed_density*Universal!powder_ratio*Universal!density_selected-G7)</f>
        <v>48.57784058</v>
      </c>
      <c r="L26" s="10" t="s">
        <v>87</v>
      </c>
      <c r="N26" s="164" t="str">
        <f>"6. Key process assumptions: (i) "&amp;C26*1000&amp;" micron printed layer height; (ii) $"&amp;Universal!labor_rate&amp;"/hr labor rate; (iii) Printer, depowdering, and powder handling equipment @ "&amp;C34&amp;" x "&amp;C35&amp;" x "&amp;Universal!weeks_yr&amp;" x "&amp;Universal!uptime*100&amp;"% uptime"</f>
        <v>6. Key process assumptions: (i) 75 micron printed layer height; (ii) $20/hr labor rate; (iii) Printer, depowdering, and powder handling equipment @ 16 x 7 x 50 x 80% uptime</v>
      </c>
      <c r="O26" s="171"/>
      <c r="Q26" s="171"/>
      <c r="R26" s="171"/>
      <c r="S26" s="171"/>
      <c r="T26" s="171"/>
      <c r="U26" s="171"/>
      <c r="AB26" s="81"/>
      <c r="AC26" s="171"/>
      <c r="AE26" s="174"/>
      <c r="AF26" s="165" t="str">
        <f>"                        (iv) "&amp;X41&amp;" parts/hr depowdering rate; (v) "&amp;Universal!total_yield*100&amp;"% overall process yield; (vi) "&amp;Universal!dm_depr&amp;"yr DM equipment depreciation;"</f>
        <v>                        (iv)  parts/hr depowdering rate; (v) 90% overall process yield; (vi) 7yr DM equipment depreciation;</v>
      </c>
      <c r="AG26" s="10"/>
      <c r="AH26" s="171"/>
      <c r="AI26" s="171"/>
      <c r="AJ26" s="171"/>
      <c r="AK26" s="171"/>
      <c r="AL26" s="171"/>
      <c r="AM26" s="10"/>
      <c r="AN26" s="10"/>
      <c r="AO26" s="10"/>
      <c r="AP26" s="10"/>
      <c r="AQ26" s="10"/>
      <c r="AR26" s="10"/>
      <c r="AS26" s="154"/>
    </row>
    <row r="27" ht="14.25" customHeight="1">
      <c r="B27" s="103" t="s">
        <v>294</v>
      </c>
      <c r="C27" s="175">
        <f>VLOOKUP("Default",$B$217:$C$251,2,0)</f>
        <v>0.075</v>
      </c>
      <c r="D27" s="10" t="s">
        <v>55</v>
      </c>
      <c r="F27" s="136" t="s">
        <v>295</v>
      </c>
      <c r="G27" s="168">
        <f>(Universal!power_rate*Universal!printer_pwr*(Universal!print_time_trn-Universal!print_trnaround))*Universal!printers_req/Universal!good_parts_job+(Universal!floor_rate*Universal!printer_floorspace*Universal!printers_req/Universal!part_capacity)</f>
        <v>0.05613189135</v>
      </c>
      <c r="H27" s="124"/>
      <c r="J27" s="77" t="s">
        <v>86</v>
      </c>
      <c r="K27" s="172">
        <f>IF(NOT(Universal!ppu_auto_on),C103,"N.A.")</f>
        <v>45</v>
      </c>
      <c r="L27" s="10" t="s">
        <v>87</v>
      </c>
      <c r="N27" s="176"/>
      <c r="O27" s="165" t="str">
        <f>"                        (iv) "&amp;G42&amp;" parts/hr depowdering rate; (v) "&amp;Universal!total_yield*100&amp;"% overall process yield; (vi) "&amp;Universal!dm_depr&amp;"yr DM equipment depreciation;"</f>
        <v>                        (iv) 60 parts/hr depowdering rate; (v) 90% overall process yield; (vi) 7yr DM equipment depreciation;</v>
      </c>
      <c r="Q27" s="171"/>
      <c r="R27" s="171"/>
      <c r="S27" s="171"/>
      <c r="T27" s="171"/>
      <c r="U27" s="171"/>
      <c r="AB27" s="81"/>
      <c r="AC27" s="171"/>
      <c r="AE27" s="177"/>
      <c r="AF27" s="178" t="str">
        <f>"                        (vii) Drying oven "&amp;IF(T13="Yes","&amp; sintering ",)&amp;"equipment @ 24 x 7 x "&amp;Universal!weeks_yr&amp;" x "&amp;Universal!uptime*100&amp;"% uptime; (viii) "&amp;IF(T13="Yes",Universal!furnace_depr&amp;"yr MIM furnace depreciation; (iv) ",)&amp;Universal!total_yield*100&amp;"% overall process yield"</f>
        <v>                        (vii) Drying oven equipment @ 24 x 7 x 50 x 80% uptime; (viii) 90% overall process yield</v>
      </c>
      <c r="AG27" s="179"/>
      <c r="AH27" s="180"/>
      <c r="AI27" s="180"/>
      <c r="AJ27" s="180"/>
      <c r="AK27" s="180"/>
      <c r="AL27" s="180"/>
      <c r="AM27" s="179"/>
      <c r="AN27" s="179"/>
      <c r="AO27" s="179"/>
      <c r="AP27" s="179"/>
      <c r="AQ27" s="179"/>
      <c r="AR27" s="179"/>
      <c r="AS27" s="181"/>
    </row>
    <row r="28" ht="14.25" customHeight="1">
      <c r="B28" s="77" t="s">
        <v>296</v>
      </c>
      <c r="C28" s="110">
        <f>ROUNDUP(Universal!build_height/Universal!layer_thickness_sel,0)</f>
        <v>1519</v>
      </c>
      <c r="G28" s="10"/>
      <c r="H28" s="124"/>
      <c r="J28" s="77" t="str">
        <f>"Blend time + "&amp;Universal!powder_trnaround&amp;"hrs turnaround"</f>
        <v>Blend time + 0.25hrs turnaround</v>
      </c>
      <c r="K28" s="125">
        <f>IF(NOT(Universal!ppu_auto_on),Universal!print_time_trn+Universal!powder_trnaround,"N.A.")</f>
        <v>11.72055556</v>
      </c>
      <c r="L28" s="10" t="s">
        <v>81</v>
      </c>
      <c r="N28" s="182"/>
      <c r="O28" s="183" t="str">
        <f>"                        (vii) Drying oven "&amp;IF(C15="Yes","&amp; sintering ",)&amp;"equipment @ 24 x 7 x "&amp;Universal!weeks_yr&amp;" x "&amp;Universal!uptime*100&amp;"% uptime; (viii) "&amp;IF(C15="Yes",Universal!furnace_depr&amp;"yr MIM furnace depreciation; (iv) ",)&amp;Universal!total_yield*100&amp;"% overall process yield"</f>
        <v>                        (vii) Drying oven &amp; sintering equipment @ 24 x 7 x 50 x 80% uptime; (viii) 7yr MIM furnace depreciation; (iv) 90% overall process yield</v>
      </c>
      <c r="P28" s="184"/>
      <c r="Q28" s="185"/>
      <c r="R28" s="185"/>
      <c r="S28" s="185"/>
      <c r="T28" s="185"/>
      <c r="U28" s="185"/>
      <c r="V28" s="186"/>
      <c r="W28" s="187"/>
      <c r="X28" s="184"/>
      <c r="Y28" s="184"/>
      <c r="Z28" s="184"/>
      <c r="AA28" s="184"/>
      <c r="AB28" s="188"/>
      <c r="AC28" s="171"/>
      <c r="AE28" s="171"/>
      <c r="AF28" s="165"/>
      <c r="AG28" s="10"/>
      <c r="AH28" s="171"/>
      <c r="AI28" s="171"/>
      <c r="AJ28" s="171"/>
      <c r="AK28" s="171"/>
      <c r="AL28" s="171"/>
      <c r="AM28" s="189"/>
      <c r="AN28" s="121"/>
      <c r="AO28" s="10"/>
      <c r="AP28" s="10"/>
      <c r="AQ28" s="10"/>
      <c r="AR28" s="10"/>
      <c r="AS28" s="10"/>
    </row>
    <row r="29" ht="14.25" customHeight="1">
      <c r="B29" s="77" t="str">
        <f>"Print time + "&amp;Universal!print_trnaround&amp;"hrs turnaround"</f>
        <v>Print time + 0.5hrs turnaround</v>
      </c>
      <c r="C29" s="108">
        <f>C28*Universal!layer_speed/(60*60)+Universal!print_trnaround</f>
        <v>11.47055556</v>
      </c>
      <c r="D29" s="10" t="s">
        <v>81</v>
      </c>
      <c r="E29" s="10" t="s">
        <v>45</v>
      </c>
      <c r="F29" s="86" t="s">
        <v>297</v>
      </c>
      <c r="G29" s="87"/>
      <c r="J29" s="77" t="s">
        <v>298</v>
      </c>
      <c r="K29" s="172">
        <f>IF(NOT(Universal!ppu_auto_on),K27*Universal!uptime_hours_yr/K28,"N.A.")</f>
        <v>17200.54984</v>
      </c>
      <c r="L29" s="10" t="s">
        <v>87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17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ht="14.25" customHeight="1">
      <c r="B30" s="77" t="s">
        <v>299</v>
      </c>
      <c r="C30" s="190">
        <v>0.9</v>
      </c>
      <c r="F30" s="91" t="s">
        <v>84</v>
      </c>
      <c r="G30" s="191">
        <f>VLOOKUP($F$30,Inputs!$B:$Q,Universal!printer_index+1,0)</f>
        <v>2</v>
      </c>
      <c r="J30" s="77" t="s">
        <v>300</v>
      </c>
      <c r="K30" s="172">
        <f>IF(NOT(Universal!ppu_auto_on),ROUNDUP(Universal!total_builds_yr*K26/K29,0),"N.A.")</f>
        <v>1</v>
      </c>
      <c r="N30" s="171"/>
      <c r="Q30" s="171"/>
      <c r="R30" s="171"/>
      <c r="S30" s="171"/>
      <c r="T30" s="171"/>
      <c r="U30" s="171"/>
      <c r="V30" s="189"/>
      <c r="W30" s="121"/>
      <c r="AC30" s="171"/>
      <c r="AE30" s="171"/>
      <c r="AH30" s="171"/>
      <c r="AI30" s="171"/>
      <c r="AJ30" s="171"/>
      <c r="AK30" s="171"/>
      <c r="AL30" s="171"/>
      <c r="AM30" s="189"/>
      <c r="AN30" s="121"/>
    </row>
    <row r="31" ht="14.25" customHeight="1">
      <c r="B31" s="136" t="s">
        <v>301</v>
      </c>
      <c r="C31" s="192">
        <f>IF(Universal!override_nesting="Yes",IF(C23=0,C19,C23),C19)*C30</f>
        <v>121.5</v>
      </c>
      <c r="F31" s="77" t="str">
        <f>"Dry time + "&amp;Universal!xlink_trnaround&amp;"hrs turnaround"</f>
        <v>Dry time + 0.5hrs turnaround</v>
      </c>
      <c r="G31" s="193">
        <f>C101*Universal!build_height/Universal!build_z+Universal!xlink_trnaround</f>
        <v>20.24266667</v>
      </c>
      <c r="H31" s="10" t="s">
        <v>81</v>
      </c>
      <c r="J31" s="77" t="s">
        <v>302</v>
      </c>
      <c r="K31" s="172">
        <f>IF(NOT(Universal!ppu_auto_on),Universal!total_builds_yr*K26/K27*K28,"N.A.")</f>
        <v>2082.704268</v>
      </c>
      <c r="L31" s="10" t="s">
        <v>81</v>
      </c>
      <c r="N31" s="194" t="str">
        <f>Universal!printer_sel&amp;" "&amp;LOWER(N11)&amp;" allocation"</f>
        <v>Shop_12L sintered part cost allocation</v>
      </c>
      <c r="V31" s="194" t="s">
        <v>303</v>
      </c>
      <c r="AC31" s="171"/>
      <c r="AE31" s="194" t="str">
        <f>Universal!printer_sel&amp;" "&amp;LOWER(AE13)&amp;" allocation"</f>
        <v>Shop_12L sintered part cost allocation</v>
      </c>
      <c r="AM31" s="194" t="s">
        <v>303</v>
      </c>
    </row>
    <row r="32" ht="14.25" customHeight="1">
      <c r="A32" s="10" t="s">
        <v>45</v>
      </c>
      <c r="F32" s="77" t="s">
        <v>252</v>
      </c>
      <c r="G32" s="119">
        <f>ROUNDDOWN(G30*Universal!total_hours_yr/G31,0)</f>
        <v>829</v>
      </c>
      <c r="J32" s="77" t="s">
        <v>304</v>
      </c>
      <c r="K32" s="172" t="str">
        <f>IFERROR(MAX(ROUNDUP(G11/C104,0),ROUNDUP(G45/C105,0)),"N.A. ")</f>
        <v>N.A. </v>
      </c>
      <c r="N32" s="10" t="s">
        <v>305</v>
      </c>
      <c r="O32" s="10" t="s">
        <v>306</v>
      </c>
      <c r="P32" s="124">
        <f>G22+G23</f>
        <v>11.86940394</v>
      </c>
      <c r="R32" s="10" t="s">
        <v>307</v>
      </c>
      <c r="S32" s="10" t="s">
        <v>308</v>
      </c>
      <c r="T32" s="124">
        <f t="shared" ref="T32:T37" si="3">SUMIF($O$32:$O$50,S32,$P$32:$P$50)</f>
        <v>11.86940394</v>
      </c>
      <c r="V32" s="195" t="s">
        <v>309</v>
      </c>
      <c r="W32" s="196"/>
      <c r="X32" s="196"/>
      <c r="Y32" s="197">
        <f>Universal!parts_job</f>
        <v>135</v>
      </c>
      <c r="AC32" s="171"/>
      <c r="AE32" s="10" t="s">
        <v>305</v>
      </c>
      <c r="AF32" s="10" t="s">
        <v>306</v>
      </c>
      <c r="AG32" s="124">
        <f>G22+G23</f>
        <v>11.86940394</v>
      </c>
      <c r="AI32" s="10" t="s">
        <v>307</v>
      </c>
      <c r="AJ32" s="10" t="s">
        <v>308</v>
      </c>
      <c r="AK32" s="124">
        <f t="shared" ref="AK32:AK33" si="4">SUMIF($O$32:$O$50,S32,$P$32:$P$50)</f>
        <v>11.86940394</v>
      </c>
      <c r="AM32" s="195" t="s">
        <v>309</v>
      </c>
      <c r="AN32" s="196"/>
      <c r="AO32" s="196"/>
      <c r="AP32" s="197">
        <f>Universal!parts_job</f>
        <v>135</v>
      </c>
    </row>
    <row r="33" ht="14.25" customHeight="1">
      <c r="B33" s="86" t="s">
        <v>310</v>
      </c>
      <c r="C33" s="87"/>
      <c r="F33" s="77" t="s">
        <v>311</v>
      </c>
      <c r="G33" s="119">
        <f>ROUNDUP(Universal!total_builds_yr/G32,0)</f>
        <v>1</v>
      </c>
      <c r="J33" s="77" t="s">
        <v>312</v>
      </c>
      <c r="K33" s="172" t="str">
        <f>IFERROR(ROUNDUP(MAX(G12/G11,G46/G45)*K32,0),"N.A. ")</f>
        <v>N.A. </v>
      </c>
      <c r="L33" s="10" t="s">
        <v>81</v>
      </c>
      <c r="N33" s="10" t="s">
        <v>305</v>
      </c>
      <c r="O33" s="10" t="s">
        <v>313</v>
      </c>
      <c r="P33" s="124">
        <f>G25</f>
        <v>2.633177348</v>
      </c>
      <c r="S33" s="10" t="s">
        <v>313</v>
      </c>
      <c r="T33" s="124">
        <f t="shared" si="3"/>
        <v>2.910955126</v>
      </c>
      <c r="V33" s="198" t="s">
        <v>314</v>
      </c>
      <c r="W33" s="199"/>
      <c r="X33" s="199"/>
      <c r="Y33" s="200">
        <f>G17</f>
        <v>0.5156846073</v>
      </c>
      <c r="AC33" s="171"/>
      <c r="AE33" s="10" t="s">
        <v>305</v>
      </c>
      <c r="AF33" s="10" t="s">
        <v>313</v>
      </c>
      <c r="AG33" s="124">
        <f t="shared" ref="AG33:AG35" si="5">G25</f>
        <v>2.633177348</v>
      </c>
      <c r="AJ33" s="10" t="s">
        <v>313</v>
      </c>
      <c r="AK33" s="124">
        <f t="shared" si="4"/>
        <v>2.910955126</v>
      </c>
      <c r="AM33" s="198" t="s">
        <v>314</v>
      </c>
      <c r="AN33" s="199"/>
      <c r="AO33" s="199"/>
      <c r="AP33" s="200" t="str">
        <f>X17</f>
        <v/>
      </c>
    </row>
    <row r="34" ht="14.25" customHeight="1">
      <c r="B34" s="91" t="s">
        <v>315</v>
      </c>
      <c r="C34" s="201">
        <v>16.0</v>
      </c>
      <c r="F34" s="77" t="s">
        <v>316</v>
      </c>
      <c r="G34" s="119">
        <f>Universal!total_builds_yr*G31/G30</f>
        <v>1666.0631</v>
      </c>
      <c r="H34" s="10" t="s">
        <v>81</v>
      </c>
      <c r="J34" s="77" t="s">
        <v>317</v>
      </c>
      <c r="K34" s="158">
        <f>Universal!powder_process_msrp*IF(Universal!ppu_auto_on,K32,K30)</f>
        <v>9795</v>
      </c>
      <c r="N34" s="10" t="s">
        <v>305</v>
      </c>
      <c r="O34" s="10" t="s">
        <v>318</v>
      </c>
      <c r="P34" s="124">
        <f>G24</f>
        <v>0.6524968353</v>
      </c>
      <c r="S34" s="10" t="s">
        <v>318</v>
      </c>
      <c r="T34" s="124">
        <f t="shared" si="3"/>
        <v>1.139915309</v>
      </c>
      <c r="V34" s="198" t="s">
        <v>319</v>
      </c>
      <c r="W34" s="199"/>
      <c r="X34" s="199"/>
      <c r="Y34" s="202">
        <f>IF(Universal!furnace_sel="DM",K9,K9)</f>
        <v>216</v>
      </c>
      <c r="AE34" s="10" t="s">
        <v>305</v>
      </c>
      <c r="AF34" s="10" t="s">
        <v>320</v>
      </c>
      <c r="AG34" s="124">
        <f t="shared" si="5"/>
        <v>0.08230452675</v>
      </c>
      <c r="AJ34" s="10" t="s">
        <v>320</v>
      </c>
      <c r="AK34" s="124">
        <f t="shared" ref="AK34:AK36" si="6">T35</f>
        <v>0.700555867</v>
      </c>
      <c r="AM34" s="198" t="s">
        <v>319</v>
      </c>
      <c r="AN34" s="199"/>
      <c r="AO34" s="199"/>
      <c r="AP34" s="202" t="str">
        <f>IF(Universal!furnace_sel="DM",AB9,AB9)</f>
        <v/>
      </c>
    </row>
    <row r="35" ht="14.25" customHeight="1">
      <c r="B35" s="77" t="s">
        <v>321</v>
      </c>
      <c r="C35" s="201">
        <v>7.0</v>
      </c>
      <c r="F35" s="77" t="s">
        <v>322</v>
      </c>
      <c r="G35" s="158">
        <f>IF(C14="TurboFuse",(Universal!xlink_msrp+1200)*G33,Universal!xlink_msrp*G33)</f>
        <v>23540</v>
      </c>
      <c r="J35" s="77" t="str">
        <f>"Annual depreciation (@ "&amp;Universal!dm_depr&amp;" yrs)"</f>
        <v>Annual depreciation (@ 7 yrs)</v>
      </c>
      <c r="K35" s="158">
        <f>K34/Universal!dm_depr+Universal!floor_rate*IF(Universal!ppu_auto_on,K32,K30)*Universal!powder_floorspace</f>
        <v>1501.685714</v>
      </c>
      <c r="N35" s="10" t="s">
        <v>305</v>
      </c>
      <c r="O35" s="10" t="s">
        <v>320</v>
      </c>
      <c r="P35" s="124">
        <f t="shared" ref="P35:P36" si="7">G26</f>
        <v>0.08230452675</v>
      </c>
      <c r="S35" s="10" t="s">
        <v>320</v>
      </c>
      <c r="T35" s="124">
        <f t="shared" si="3"/>
        <v>0.700555867</v>
      </c>
      <c r="V35" s="198" t="s">
        <v>323</v>
      </c>
      <c r="W35" s="199"/>
      <c r="X35" s="199"/>
      <c r="Y35" s="203">
        <f>Y34/Universal!parts_job</f>
        <v>1.6</v>
      </c>
      <c r="AE35" s="10" t="s">
        <v>305</v>
      </c>
      <c r="AF35" s="10" t="s">
        <v>324</v>
      </c>
      <c r="AG35" s="124">
        <f t="shared" si="5"/>
        <v>0.05613189135</v>
      </c>
      <c r="AJ35" s="10" t="s">
        <v>324</v>
      </c>
      <c r="AK35" s="124">
        <f t="shared" si="6"/>
        <v>1.843912647</v>
      </c>
      <c r="AM35" s="198" t="s">
        <v>323</v>
      </c>
      <c r="AN35" s="199"/>
      <c r="AO35" s="199"/>
      <c r="AP35" s="203">
        <f>AP34/Universal!parts_job</f>
        <v>0</v>
      </c>
    </row>
    <row r="36" ht="14.25" customHeight="1">
      <c r="B36" s="77" t="s">
        <v>325</v>
      </c>
      <c r="C36" s="201">
        <v>50.0</v>
      </c>
      <c r="F36" s="77" t="str">
        <f>"Annual depreciation (@ "&amp;Universal!dm_depr&amp;" yrs)"</f>
        <v>Annual depreciation (@ 7 yrs)</v>
      </c>
      <c r="G36" s="158">
        <f>G35/Universal!dm_depr+Universal!floor_rate*G33*Universal!xlink_floorspace</f>
        <v>3490.857143</v>
      </c>
      <c r="J36" s="77" t="s">
        <v>286</v>
      </c>
      <c r="K36" s="159">
        <f>K35*IF(Universal!ppu_auto_on,K33,K31)/(Universal!avail_hours_yr*IF(Universal!ppu_auto_on,K32,K30))/Universal!part_req</f>
        <v>0.02792470756</v>
      </c>
      <c r="N36" s="10" t="s">
        <v>305</v>
      </c>
      <c r="O36" s="10" t="s">
        <v>324</v>
      </c>
      <c r="P36" s="124">
        <f t="shared" si="7"/>
        <v>0.05613189135</v>
      </c>
      <c r="S36" s="10" t="s">
        <v>324</v>
      </c>
      <c r="T36" s="124">
        <f t="shared" si="3"/>
        <v>1.843912647</v>
      </c>
      <c r="V36" s="198" t="s">
        <v>326</v>
      </c>
      <c r="W36" s="199"/>
      <c r="X36" s="199"/>
      <c r="Y36" s="202">
        <f>Y37/Universal!weeks_yr</f>
        <v>400</v>
      </c>
      <c r="AE36" s="83" t="s">
        <v>327</v>
      </c>
      <c r="AF36" s="83" t="s">
        <v>320</v>
      </c>
      <c r="AG36" s="204">
        <f t="shared" ref="AG36:AG37" si="8">G38</f>
        <v>0.04115226337</v>
      </c>
      <c r="AJ36" s="10" t="s">
        <v>328</v>
      </c>
      <c r="AK36" s="124">
        <f t="shared" si="6"/>
        <v>0</v>
      </c>
      <c r="AM36" s="198" t="s">
        <v>326</v>
      </c>
      <c r="AN36" s="199"/>
      <c r="AO36" s="199"/>
      <c r="AP36" s="202">
        <f>AP37/Universal!weeks_yr</f>
        <v>400</v>
      </c>
    </row>
    <row r="37" ht="14.25" customHeight="1">
      <c r="B37" s="77" t="s">
        <v>329</v>
      </c>
      <c r="C37" s="110">
        <f>C34*C35*Universal!weeks_yr</f>
        <v>5600</v>
      </c>
      <c r="F37" s="77" t="s">
        <v>286</v>
      </c>
      <c r="G37" s="159">
        <f>G36*G34/(Universal!total_hours_yr*G33)/Universal!part_req</f>
        <v>0.03461897782</v>
      </c>
      <c r="J37" s="77" t="s">
        <v>277</v>
      </c>
      <c r="K37" s="159">
        <f>Universal!labor_rate*Universal!total_builds_yr*IF(Universal!ppu_auto_on,Universal!ppu_auto_trnaround,K26/K27*Universal!powder_trnaround)/Universal!part_req</f>
        <v>0.04442417977</v>
      </c>
      <c r="N37" s="79" t="s">
        <v>327</v>
      </c>
      <c r="O37" s="79" t="s">
        <v>318</v>
      </c>
      <c r="P37" s="205">
        <f t="shared" ref="P37:P39" si="9">G37</f>
        <v>0.03461897782</v>
      </c>
      <c r="S37" s="10" t="s">
        <v>328</v>
      </c>
      <c r="T37" s="124">
        <f t="shared" si="3"/>
        <v>0</v>
      </c>
      <c r="V37" s="198" t="s">
        <v>330</v>
      </c>
      <c r="W37" s="199"/>
      <c r="X37" s="199"/>
      <c r="Y37" s="202">
        <f>Universal!part_req</f>
        <v>20000</v>
      </c>
      <c r="AE37" s="184" t="s">
        <v>327</v>
      </c>
      <c r="AF37" s="184" t="s">
        <v>324</v>
      </c>
      <c r="AG37" s="206">
        <f t="shared" si="8"/>
        <v>0.02721514074</v>
      </c>
      <c r="AJ37" s="79" t="s">
        <v>307</v>
      </c>
      <c r="AK37" s="207">
        <f>SUM(AK32:AK36)</f>
        <v>17.32482758</v>
      </c>
      <c r="AM37" s="198" t="s">
        <v>330</v>
      </c>
      <c r="AN37" s="199"/>
      <c r="AO37" s="199"/>
      <c r="AP37" s="202">
        <f>Universal!part_req</f>
        <v>20000</v>
      </c>
    </row>
    <row r="38" ht="14.25" customHeight="1">
      <c r="B38" s="77" t="s">
        <v>331</v>
      </c>
      <c r="C38" s="190">
        <v>0.8</v>
      </c>
      <c r="F38" s="77" t="s">
        <v>277</v>
      </c>
      <c r="G38" s="159">
        <f>Universal!labor_rate*Universal!xlink_trnaround/G30*Universal!total_builds_yr/Universal!part_req</f>
        <v>0.04115226337</v>
      </c>
      <c r="J38" s="136" t="s">
        <v>281</v>
      </c>
      <c r="K38" s="168">
        <f>Universal!power_rate*Universal!powder_pwr*IF(Universal!ppu_auto_on,G12,Universal!total_builds_yr*K26/K27)/Universal!part_req</f>
        <v>0.0006450390903</v>
      </c>
      <c r="N38" s="10" t="s">
        <v>327</v>
      </c>
      <c r="O38" s="10" t="s">
        <v>320</v>
      </c>
      <c r="P38" s="124">
        <f t="shared" si="9"/>
        <v>0.04115226337</v>
      </c>
      <c r="S38" s="79" t="s">
        <v>307</v>
      </c>
      <c r="T38" s="207">
        <f>SUM(T32:T37)</f>
        <v>18.46474289</v>
      </c>
      <c r="V38" s="198" t="s">
        <v>332</v>
      </c>
      <c r="W38" s="199"/>
      <c r="X38" s="199"/>
      <c r="Y38" s="208">
        <f>P11</f>
        <v>17.32482758</v>
      </c>
      <c r="AE38" s="10" t="s">
        <v>333</v>
      </c>
      <c r="AF38" s="10" t="s">
        <v>320</v>
      </c>
      <c r="AG38" s="124">
        <f t="shared" ref="AG38:AG39" si="10">G50</f>
        <v>0.4526748971</v>
      </c>
      <c r="AM38" s="198" t="s">
        <v>332</v>
      </c>
      <c r="AN38" s="199"/>
      <c r="AO38" s="199"/>
      <c r="AP38" s="208">
        <f>AG13</f>
        <v>17.32482758</v>
      </c>
    </row>
    <row r="39" ht="14.25" customHeight="1">
      <c r="B39" s="77" t="s">
        <v>334</v>
      </c>
      <c r="C39" s="110">
        <f>Universal!avail_hours_yr*Universal!uptime</f>
        <v>4480</v>
      </c>
      <c r="F39" s="136" t="s">
        <v>295</v>
      </c>
      <c r="G39" s="168">
        <f>Universal!power_rate*Universal!xlink_pwr*G34/Universal!part_req</f>
        <v>0.02721514074</v>
      </c>
      <c r="N39" s="184" t="s">
        <v>327</v>
      </c>
      <c r="O39" s="184" t="s">
        <v>324</v>
      </c>
      <c r="P39" s="206">
        <f t="shared" si="9"/>
        <v>0.02721514074</v>
      </c>
      <c r="V39" s="198" t="s">
        <v>335</v>
      </c>
      <c r="W39" s="199"/>
      <c r="X39" s="199"/>
      <c r="Y39" s="208">
        <f>P13</f>
        <v>0.8572912583</v>
      </c>
      <c r="AE39" s="10" t="s">
        <v>333</v>
      </c>
      <c r="AF39" s="10" t="s">
        <v>324</v>
      </c>
      <c r="AG39" s="124">
        <f t="shared" si="10"/>
        <v>0.0008465020576</v>
      </c>
      <c r="AI39" s="10" t="s">
        <v>307</v>
      </c>
      <c r="AJ39" s="10" t="s">
        <v>308</v>
      </c>
      <c r="AK39" s="124">
        <f>T32</f>
        <v>11.86940394</v>
      </c>
      <c r="AM39" s="198" t="s">
        <v>335</v>
      </c>
      <c r="AN39" s="199"/>
      <c r="AO39" s="199"/>
      <c r="AP39" s="208">
        <f>AG15</f>
        <v>0.8572912583</v>
      </c>
    </row>
    <row r="40" ht="14.25" customHeight="1">
      <c r="B40" s="77" t="s">
        <v>336</v>
      </c>
      <c r="C40" s="110">
        <f>ROUND(Universal!good_parts_job/Universal!print_time_trn*Universal!uptime_hours_yr,0)</f>
        <v>47454</v>
      </c>
      <c r="G40" s="10"/>
      <c r="N40" s="10" t="s">
        <v>333</v>
      </c>
      <c r="O40" s="10" t="s">
        <v>318</v>
      </c>
      <c r="P40" s="124">
        <f t="shared" ref="P40:P42" si="11">G49</f>
        <v>0.02655394642</v>
      </c>
      <c r="R40" s="10" t="s">
        <v>307</v>
      </c>
      <c r="S40" s="10" t="s">
        <v>308</v>
      </c>
      <c r="T40" s="124">
        <f>P32</f>
        <v>11.86940394</v>
      </c>
      <c r="U40" s="209"/>
      <c r="V40" s="198" t="s">
        <v>337</v>
      </c>
      <c r="W40" s="199"/>
      <c r="X40" s="199"/>
      <c r="Y40" s="208">
        <f>P17</f>
        <v>18.46474289</v>
      </c>
      <c r="AE40" s="79" t="s">
        <v>338</v>
      </c>
      <c r="AF40" s="79" t="s">
        <v>313</v>
      </c>
      <c r="AG40" s="205">
        <f>IF(C15="No",0,K20)</f>
        <v>0.2777777778</v>
      </c>
      <c r="AJ40" s="10" t="s">
        <v>305</v>
      </c>
      <c r="AK40" s="124">
        <f>SUM(P33,P35,P36)</f>
        <v>2.771613766</v>
      </c>
      <c r="AL40" s="209"/>
      <c r="AM40" s="198" t="s">
        <v>248</v>
      </c>
      <c r="AN40" s="199"/>
      <c r="AO40" s="199"/>
      <c r="AP40" s="210">
        <f>AK14</f>
        <v>0.3371709452</v>
      </c>
    </row>
    <row r="41" ht="14.25" customHeight="1">
      <c r="B41" s="77" t="s">
        <v>339</v>
      </c>
      <c r="C41" s="110">
        <f>IF((MAX((C40/C31)/G32,(C40/C31)/G44))&gt;1,Universal!part_capacity/(MAX((C40/C31)/G32,(C40/C31)/G44)),Universal!part_capacity)</f>
        <v>47454</v>
      </c>
      <c r="D41" s="76"/>
      <c r="E41" s="10" t="s">
        <v>45</v>
      </c>
      <c r="F41" s="86" t="s">
        <v>340</v>
      </c>
      <c r="G41" s="87"/>
      <c r="J41" s="211"/>
      <c r="K41" s="212"/>
      <c r="N41" s="10" t="s">
        <v>333</v>
      </c>
      <c r="O41" s="10" t="s">
        <v>320</v>
      </c>
      <c r="P41" s="124">
        <f t="shared" si="11"/>
        <v>0.4526748971</v>
      </c>
      <c r="S41" s="10" t="s">
        <v>305</v>
      </c>
      <c r="T41" s="124">
        <f t="shared" ref="T41:T45" si="12">SUMIF($N$33:$N$50,S41,$P$33:$P$50)</f>
        <v>3.424110602</v>
      </c>
      <c r="V41" s="198" t="s">
        <v>341</v>
      </c>
      <c r="W41" s="199"/>
      <c r="X41" s="199"/>
      <c r="Y41" s="208">
        <f>P19</f>
        <v>0.9136981359</v>
      </c>
      <c r="AE41" s="10" t="s">
        <v>338</v>
      </c>
      <c r="AF41" s="10" t="s">
        <v>320</v>
      </c>
      <c r="AG41" s="124">
        <f>IF(C15="No",0,K21)</f>
        <v>0.08</v>
      </c>
      <c r="AJ41" s="10" t="s">
        <v>327</v>
      </c>
      <c r="AK41" s="124">
        <f>SUM(P38,P39)</f>
        <v>0.06836740412</v>
      </c>
      <c r="AM41" s="213" t="s">
        <v>261</v>
      </c>
      <c r="AN41" s="214"/>
      <c r="AO41" s="214"/>
      <c r="AP41" s="215">
        <f>AK17</f>
        <v>0.2642085714</v>
      </c>
    </row>
    <row r="42" ht="14.25" customHeight="1">
      <c r="B42" s="136" t="s">
        <v>342</v>
      </c>
      <c r="C42" s="169">
        <v>20000.0</v>
      </c>
      <c r="F42" s="91" t="s">
        <v>343</v>
      </c>
      <c r="G42" s="216">
        <f>C57</f>
        <v>60</v>
      </c>
      <c r="N42" s="10" t="s">
        <v>333</v>
      </c>
      <c r="O42" s="10" t="s">
        <v>324</v>
      </c>
      <c r="P42" s="124">
        <f t="shared" si="11"/>
        <v>0.0008465020576</v>
      </c>
      <c r="S42" s="10" t="s">
        <v>327</v>
      </c>
      <c r="T42" s="124">
        <f t="shared" si="12"/>
        <v>0.1029863819</v>
      </c>
      <c r="V42" s="198" t="s">
        <v>248</v>
      </c>
      <c r="W42" s="199"/>
      <c r="X42" s="199"/>
      <c r="Y42" s="210">
        <f>T14</f>
        <v>0.3371709452</v>
      </c>
      <c r="AE42" s="10" t="s">
        <v>338</v>
      </c>
      <c r="AF42" s="10" t="s">
        <v>324</v>
      </c>
      <c r="AG42" s="124">
        <f>IF(C15="No",0,K22)</f>
        <v>1.759074074</v>
      </c>
      <c r="AJ42" s="10" t="s">
        <v>333</v>
      </c>
      <c r="AK42" s="124">
        <f>SUM(P41,P42)</f>
        <v>0.4535213992</v>
      </c>
    </row>
    <row r="43" ht="14.25" customHeight="1">
      <c r="A43" s="10" t="s">
        <v>45</v>
      </c>
      <c r="F43" s="77" t="str">
        <f>"Depowder time + "&amp;Universal!depowder_trnaround&amp;"hrs turnaround"</f>
        <v>Depowder time + 0.5hrs turnaround</v>
      </c>
      <c r="G43" s="108">
        <f>Universal!parts_job/G42+Universal!depowder_trnaround</f>
        <v>2.75</v>
      </c>
      <c r="H43" s="10" t="s">
        <v>81</v>
      </c>
      <c r="N43" s="79" t="s">
        <v>338</v>
      </c>
      <c r="O43" s="79" t="s">
        <v>313</v>
      </c>
      <c r="P43" s="205">
        <f>IF(C15="No",0,K20)</f>
        <v>0.2777777778</v>
      </c>
      <c r="S43" s="10" t="s">
        <v>333</v>
      </c>
      <c r="T43" s="124">
        <f t="shared" si="12"/>
        <v>0.4800753456</v>
      </c>
      <c r="V43" s="213" t="s">
        <v>261</v>
      </c>
      <c r="W43" s="214"/>
      <c r="X43" s="214"/>
      <c r="Y43" s="215">
        <f>T17</f>
        <v>0.2642085714</v>
      </c>
      <c r="AE43" s="10" t="s">
        <v>338</v>
      </c>
      <c r="AF43" s="10" t="s">
        <v>328</v>
      </c>
      <c r="AG43" s="124">
        <f>IF(C15="No",0,IF(Universal!furnace_sel="DM",VLOOKUP("Furnace equipment / run",Inputs!$B$178:$N$235,Universal!furnace_index+1,0)/K9,0))</f>
        <v>0</v>
      </c>
      <c r="AJ43" s="10" t="s">
        <v>338</v>
      </c>
      <c r="AK43" s="124">
        <f>SUM(P43,P45,P46,P47)</f>
        <v>2.116851852</v>
      </c>
    </row>
    <row r="44" ht="14.25" customHeight="1">
      <c r="B44" s="86" t="s">
        <v>344</v>
      </c>
      <c r="C44" s="87"/>
      <c r="F44" s="77" t="s">
        <v>252</v>
      </c>
      <c r="G44" s="119">
        <f>ROUNDDOWN(Universal!uptime_hours_yr/G43,0)</f>
        <v>1629</v>
      </c>
      <c r="N44" s="10" t="s">
        <v>338</v>
      </c>
      <c r="O44" s="10" t="s">
        <v>318</v>
      </c>
      <c r="P44" s="124">
        <f>IF(C15="No",0,K19)</f>
        <v>0.3983208423</v>
      </c>
      <c r="S44" s="10" t="s">
        <v>338</v>
      </c>
      <c r="T44" s="124">
        <f t="shared" si="12"/>
        <v>2.515172694</v>
      </c>
      <c r="AE44" s="83" t="s">
        <v>345</v>
      </c>
      <c r="AF44" s="83" t="s">
        <v>320</v>
      </c>
      <c r="AG44" s="204">
        <f t="shared" ref="AG44:AG45" si="13">K37</f>
        <v>0.04442417977</v>
      </c>
      <c r="AJ44" s="10" t="s">
        <v>345</v>
      </c>
      <c r="AK44" s="124">
        <f>SUM(P49,P50)</f>
        <v>0.04506921887</v>
      </c>
    </row>
    <row r="45" ht="14.25" customHeight="1">
      <c r="B45" s="217" t="s">
        <v>346</v>
      </c>
      <c r="C45" s="218" t="s">
        <v>137</v>
      </c>
      <c r="F45" s="77" t="s">
        <v>347</v>
      </c>
      <c r="G45" s="119">
        <f>ROUNDUP(Universal!total_builds_yr/G44,0)</f>
        <v>1</v>
      </c>
      <c r="N45" s="10" t="s">
        <v>338</v>
      </c>
      <c r="O45" s="10" t="s">
        <v>320</v>
      </c>
      <c r="P45" s="124">
        <f>IF(C15="No",0,K21)</f>
        <v>0.08</v>
      </c>
      <c r="S45" s="10" t="s">
        <v>345</v>
      </c>
      <c r="T45" s="124">
        <f t="shared" si="12"/>
        <v>0.07299392642</v>
      </c>
      <c r="AE45" s="10" t="s">
        <v>345</v>
      </c>
      <c r="AF45" s="10" t="s">
        <v>324</v>
      </c>
      <c r="AG45" s="124">
        <f t="shared" si="13"/>
        <v>0.0006450390903</v>
      </c>
      <c r="AJ45" s="79" t="s">
        <v>307</v>
      </c>
      <c r="AK45" s="207">
        <f>SUM(AK39:AK44)</f>
        <v>17.32482758</v>
      </c>
    </row>
    <row r="46" ht="14.25" customHeight="1">
      <c r="B46" s="77" t="s">
        <v>348</v>
      </c>
      <c r="C46" s="219"/>
      <c r="D46" s="10" t="s">
        <v>349</v>
      </c>
      <c r="F46" s="77" t="s">
        <v>350</v>
      </c>
      <c r="G46" s="119">
        <f>Universal!total_builds_yr*G43</f>
        <v>452.6748971</v>
      </c>
      <c r="H46" s="10" t="s">
        <v>81</v>
      </c>
      <c r="N46" s="10" t="s">
        <v>338</v>
      </c>
      <c r="O46" s="10" t="s">
        <v>324</v>
      </c>
      <c r="P46" s="124">
        <f>IF(C15="No",0,K22)</f>
        <v>1.759074074</v>
      </c>
      <c r="S46" s="79" t="s">
        <v>307</v>
      </c>
      <c r="T46" s="207">
        <f>SUM(T40:T45)</f>
        <v>18.46474289</v>
      </c>
    </row>
    <row r="47" ht="14.25" customHeight="1">
      <c r="B47" s="103" t="s">
        <v>351</v>
      </c>
      <c r="C47" s="220">
        <f t="array" ref="C47">INDEX($C$188:$C$209,Universal!material_index)</f>
        <v>50</v>
      </c>
      <c r="D47" s="11" t="s">
        <v>349</v>
      </c>
      <c r="F47" s="77" t="s">
        <v>352</v>
      </c>
      <c r="G47" s="158">
        <f>(Universal!depowder_msrp+Universal!vacuum_msrp)*G45</f>
        <v>43840</v>
      </c>
      <c r="N47" s="184" t="s">
        <v>338</v>
      </c>
      <c r="O47" s="184" t="s">
        <v>328</v>
      </c>
      <c r="P47" s="124">
        <f>IF(C15="No",0,IF(Universal!furnace_sel="DM",VLOOKUP("Furnace equipment / run",Inputs!$B$178:$N$235,Universal!furnace_index+1,0)/K9,0))</f>
        <v>0</v>
      </c>
      <c r="AF47" s="10" t="s">
        <v>307</v>
      </c>
      <c r="AG47" s="124">
        <f>SUM(AG32:AG46)</f>
        <v>17.32482758</v>
      </c>
    </row>
    <row r="48" ht="14.25" customHeight="1">
      <c r="B48" s="77" t="s">
        <v>129</v>
      </c>
      <c r="C48" s="159">
        <f>IF(Universal!printer_index&gt;10,IF(Universal!binder_per_yr&gt;G213,C214,IF(Universal!binder_per_yr&gt;G212,C213,C212)),C212)</f>
        <v>300</v>
      </c>
      <c r="D48" s="10" t="s">
        <v>353</v>
      </c>
      <c r="F48" s="77" t="str">
        <f>"Annual depreciation (@ "&amp;Universal!dm_depr&amp;" yrs)"</f>
        <v>Annual depreciation (@ 7 yrs)</v>
      </c>
      <c r="G48" s="158">
        <f>G47/Universal!dm_depr+Universal!floor_rate*G45*Universal!depowder_floorspace</f>
        <v>6569.929143</v>
      </c>
      <c r="N48" s="10" t="s">
        <v>345</v>
      </c>
      <c r="O48" s="10" t="s">
        <v>318</v>
      </c>
      <c r="P48" s="205">
        <f t="shared" ref="P48:P50" si="14">K36</f>
        <v>0.02792470756</v>
      </c>
    </row>
    <row r="49" ht="14.25" customHeight="1">
      <c r="B49" s="77" t="s">
        <v>135</v>
      </c>
      <c r="C49" s="221" t="str">
        <f>VLOOKUP($B49,Inputs!$B:$Q,Universal!printer_index+1,0)</f>
        <v/>
      </c>
      <c r="D49" s="10" t="s">
        <v>353</v>
      </c>
      <c r="F49" s="77" t="s">
        <v>286</v>
      </c>
      <c r="G49" s="159">
        <f>G48*G46/(Universal!avail_hours_yr*G45)/Universal!part_req</f>
        <v>0.02655394642</v>
      </c>
      <c r="N49" s="10" t="s">
        <v>345</v>
      </c>
      <c r="O49" s="10" t="s">
        <v>320</v>
      </c>
      <c r="P49" s="124">
        <f t="shared" si="14"/>
        <v>0.04442417977</v>
      </c>
    </row>
    <row r="50" ht="14.25" customHeight="1">
      <c r="B50" s="77" t="s">
        <v>132</v>
      </c>
      <c r="C50" s="221">
        <f>VLOOKUP($B50,Inputs!$B:$Q,Universal!printer_index+1,0)</f>
        <v>695</v>
      </c>
      <c r="F50" s="77" t="s">
        <v>277</v>
      </c>
      <c r="G50" s="159">
        <f>Universal!labor_rate*G43*Universal!total_builds_yr/Universal!part_req</f>
        <v>0.4526748971</v>
      </c>
      <c r="N50" s="10" t="s">
        <v>345</v>
      </c>
      <c r="O50" s="10" t="s">
        <v>324</v>
      </c>
      <c r="P50" s="124">
        <f t="shared" si="14"/>
        <v>0.0006450390903</v>
      </c>
      <c r="AM50" s="189"/>
      <c r="AN50" s="121"/>
    </row>
    <row r="51" ht="14.25" customHeight="1">
      <c r="B51" s="77" t="s">
        <v>133</v>
      </c>
      <c r="C51" s="221">
        <f>VLOOKUP($B51,Inputs!$B:$Q,Universal!printer_index+1,0)</f>
        <v>231</v>
      </c>
      <c r="F51" s="136" t="s">
        <v>295</v>
      </c>
      <c r="G51" s="168">
        <f>Universal!power_rate*Universal!depowder_pwr*G46/Universal!part_req</f>
        <v>0.0008465020576</v>
      </c>
      <c r="AM51" s="189"/>
      <c r="AN51" s="121"/>
    </row>
    <row r="52" ht="14.25" customHeight="1">
      <c r="B52" s="77" t="s">
        <v>134</v>
      </c>
      <c r="C52" s="221">
        <f>VLOOKUP($B52,Inputs!$B:$Q,Universal!printer_index+1,0)</f>
        <v>81</v>
      </c>
      <c r="O52" s="10" t="s">
        <v>307</v>
      </c>
      <c r="P52" s="124">
        <f>SUM(P32:P51)</f>
        <v>18.46474289</v>
      </c>
      <c r="Q52" s="121"/>
      <c r="U52" s="121"/>
      <c r="V52" s="189"/>
      <c r="W52" s="121"/>
      <c r="AH52" s="121"/>
      <c r="AK52" s="222"/>
      <c r="AL52" s="121"/>
    </row>
    <row r="53" ht="14.25" customHeight="1">
      <c r="B53" s="136" t="s">
        <v>354</v>
      </c>
      <c r="C53" s="148" t="s">
        <v>355</v>
      </c>
      <c r="G53" s="76"/>
      <c r="T53" s="222"/>
      <c r="U53" s="121"/>
      <c r="V53" s="189"/>
      <c r="W53" s="121"/>
      <c r="AL53" s="121"/>
    </row>
    <row r="54" ht="14.25" customHeight="1">
      <c r="A54" s="10" t="s">
        <v>45</v>
      </c>
      <c r="G54" s="76"/>
    </row>
    <row r="55" ht="14.25" customHeight="1">
      <c r="B55" s="86" t="s">
        <v>356</v>
      </c>
      <c r="C55" s="87"/>
      <c r="G55" s="76"/>
      <c r="J55" s="76"/>
    </row>
    <row r="56" ht="14.25" customHeight="1">
      <c r="B56" s="77" t="s">
        <v>357</v>
      </c>
      <c r="C56" s="223">
        <v>20.0</v>
      </c>
      <c r="D56" s="10" t="s">
        <v>358</v>
      </c>
      <c r="J56" s="76"/>
      <c r="AM56" s="189"/>
      <c r="AN56" s="121"/>
    </row>
    <row r="57" ht="14.25" customHeight="1">
      <c r="B57" s="224" t="s">
        <v>359</v>
      </c>
      <c r="C57" s="201">
        <v>60.0</v>
      </c>
      <c r="AM57" s="189"/>
      <c r="AN57" s="121"/>
    </row>
    <row r="58" ht="14.25" customHeight="1">
      <c r="B58" s="224" t="s">
        <v>243</v>
      </c>
      <c r="C58" s="169">
        <v>500.0</v>
      </c>
      <c r="J58" s="76"/>
      <c r="U58" s="171"/>
      <c r="V58" s="189"/>
      <c r="W58" s="121"/>
      <c r="AL58" s="171"/>
      <c r="AM58" s="189"/>
      <c r="AN58" s="121"/>
    </row>
    <row r="59" ht="14.25" customHeight="1">
      <c r="B59" s="224" t="s">
        <v>360</v>
      </c>
      <c r="C59" s="201">
        <v>7.0</v>
      </c>
      <c r="D59" s="10" t="s">
        <v>361</v>
      </c>
      <c r="U59" s="171"/>
      <c r="V59" s="189"/>
      <c r="W59" s="121"/>
      <c r="AK59" s="171"/>
      <c r="AL59" s="171"/>
      <c r="AM59" s="189"/>
      <c r="AN59" s="121"/>
    </row>
    <row r="60" ht="14.25" customHeight="1">
      <c r="B60" s="224" t="s">
        <v>362</v>
      </c>
      <c r="C60" s="201">
        <v>7.0</v>
      </c>
      <c r="D60" s="10" t="s">
        <v>361</v>
      </c>
      <c r="J60" s="76"/>
      <c r="T60" s="171"/>
      <c r="U60" s="121"/>
      <c r="V60" s="189"/>
      <c r="W60" s="121"/>
      <c r="AK60" s="171"/>
      <c r="AL60" s="121"/>
      <c r="AM60" s="189"/>
      <c r="AN60" s="121"/>
    </row>
    <row r="61" ht="14.25" customHeight="1">
      <c r="B61" s="77" t="s">
        <v>363</v>
      </c>
      <c r="C61" s="225">
        <v>0.001</v>
      </c>
      <c r="D61" s="10" t="s">
        <v>353</v>
      </c>
      <c r="J61" s="76"/>
      <c r="T61" s="171"/>
      <c r="U61" s="121"/>
      <c r="V61" s="189"/>
      <c r="W61" s="121"/>
      <c r="AK61" s="171"/>
      <c r="AL61" s="121"/>
      <c r="AM61" s="189"/>
      <c r="AN61" s="121"/>
    </row>
    <row r="62" ht="14.25" customHeight="1">
      <c r="B62" s="77" t="s">
        <v>364</v>
      </c>
      <c r="C62" s="225">
        <v>0.0043</v>
      </c>
      <c r="D62" s="10" t="s">
        <v>353</v>
      </c>
      <c r="T62" s="171"/>
      <c r="U62" s="121"/>
      <c r="V62" s="189"/>
      <c r="W62" s="121"/>
      <c r="AK62" s="222"/>
      <c r="AL62" s="121"/>
      <c r="AM62" s="189"/>
      <c r="AN62" s="121"/>
    </row>
    <row r="63" ht="14.25" customHeight="1">
      <c r="B63" s="77" t="s">
        <v>365</v>
      </c>
      <c r="C63" s="225">
        <v>0.0025</v>
      </c>
      <c r="D63" s="10" t="s">
        <v>353</v>
      </c>
      <c r="T63" s="222"/>
      <c r="U63" s="121"/>
      <c r="V63" s="189"/>
      <c r="W63" s="121"/>
      <c r="AK63" s="222"/>
      <c r="AL63" s="121"/>
      <c r="AM63" s="189"/>
      <c r="AN63" s="121"/>
    </row>
    <row r="64" ht="14.25" customHeight="1">
      <c r="B64" s="77" t="s">
        <v>366</v>
      </c>
      <c r="C64" s="225">
        <v>0.011</v>
      </c>
      <c r="D64" s="10" t="s">
        <v>353</v>
      </c>
      <c r="T64" s="222"/>
      <c r="U64" s="121"/>
      <c r="V64" s="189"/>
      <c r="W64" s="121"/>
      <c r="AK64" s="222"/>
      <c r="AL64" s="121"/>
      <c r="AM64" s="76"/>
    </row>
    <row r="65" ht="14.25" customHeight="1">
      <c r="B65" s="77" t="s">
        <v>367</v>
      </c>
      <c r="C65" s="226">
        <v>0.11</v>
      </c>
      <c r="D65" s="10" t="s">
        <v>368</v>
      </c>
      <c r="T65" s="222"/>
      <c r="U65" s="121"/>
      <c r="V65" s="189"/>
      <c r="W65" s="121"/>
      <c r="AK65" s="222"/>
      <c r="AL65" s="121"/>
      <c r="AM65" s="76"/>
    </row>
    <row r="66" ht="14.25" customHeight="1">
      <c r="B66" s="61" t="s">
        <v>369</v>
      </c>
      <c r="C66" s="227">
        <v>160.0</v>
      </c>
      <c r="D66" s="10" t="s">
        <v>370</v>
      </c>
      <c r="T66" s="222"/>
      <c r="U66" s="121"/>
      <c r="V66" s="76"/>
      <c r="AK66" s="222"/>
      <c r="AL66" s="121"/>
      <c r="AN66" s="76"/>
    </row>
    <row r="67" ht="14.25" customHeight="1">
      <c r="A67" s="10" t="s">
        <v>45</v>
      </c>
      <c r="T67" s="222"/>
      <c r="U67" s="121"/>
      <c r="V67" s="76"/>
      <c r="AK67" s="222"/>
      <c r="AL67" s="121"/>
      <c r="AM67" s="228"/>
      <c r="AN67" s="121"/>
    </row>
    <row r="68" ht="14.25" customHeight="1">
      <c r="B68" s="96" t="s">
        <v>371</v>
      </c>
      <c r="C68" s="115"/>
      <c r="T68" s="222"/>
      <c r="W68" s="76"/>
      <c r="AK68" s="222"/>
      <c r="AM68" s="228"/>
      <c r="AN68" s="121"/>
    </row>
    <row r="69" ht="14.25" customHeight="1">
      <c r="B69" s="77" t="s">
        <v>372</v>
      </c>
      <c r="C69" s="229">
        <f>MATCH(Universal!printer_sel,Inputs!$C$4:$Q$4,0)</f>
        <v>3</v>
      </c>
      <c r="T69" s="222"/>
      <c r="V69" s="228"/>
      <c r="W69" s="121"/>
      <c r="AK69" s="222"/>
      <c r="AM69" s="228"/>
      <c r="AN69" s="121"/>
    </row>
    <row r="70" ht="14.25" customHeight="1">
      <c r="B70" s="77" t="s">
        <v>342</v>
      </c>
      <c r="C70" s="110">
        <f>IF(C18="No",IF(C42&lt;&gt;"",C42,Universal!part_capacity),MIN(C42,Universal!part_capacity,IF(Universal!furnace_sel="Shop",K13,K13)*Universal!good_parts_job))</f>
        <v>20000</v>
      </c>
      <c r="T70" s="222"/>
      <c r="V70" s="228"/>
      <c r="W70" s="121"/>
      <c r="AK70" s="222"/>
      <c r="AM70" s="228"/>
      <c r="AN70" s="121"/>
    </row>
    <row r="71" ht="14.25" customHeight="1">
      <c r="B71" s="77" t="s">
        <v>47</v>
      </c>
      <c r="C71" s="230">
        <f>VLOOKUP($B71,Inputs!$B:$Q,Universal!printer_index+1,0)</f>
        <v>1.167</v>
      </c>
      <c r="T71" s="222"/>
      <c r="V71" s="228"/>
      <c r="W71" s="121"/>
      <c r="AK71" s="222"/>
      <c r="AM71" s="228"/>
      <c r="AN71" s="121"/>
    </row>
    <row r="72" ht="14.25" customHeight="1">
      <c r="B72" s="77" t="s">
        <v>48</v>
      </c>
      <c r="C72" s="230">
        <f>VLOOKUP($B72,Inputs!$B:$Q,Universal!printer_index+1,0)</f>
        <v>1.174</v>
      </c>
      <c r="T72" s="222"/>
      <c r="V72" s="228"/>
      <c r="W72" s="121"/>
      <c r="AF72" s="231"/>
      <c r="AK72" s="222"/>
      <c r="AM72" s="228"/>
      <c r="AN72" s="121"/>
    </row>
    <row r="73" ht="14.25" customHeight="1">
      <c r="B73" s="77" t="s">
        <v>49</v>
      </c>
      <c r="C73" s="230">
        <f>VLOOKUP($B73,Inputs!$B:$Q,Universal!printer_index+1,0)</f>
        <v>1.21</v>
      </c>
      <c r="G73" s="76"/>
      <c r="T73" s="222"/>
      <c r="V73" s="228"/>
      <c r="W73" s="121"/>
      <c r="AE73" s="228"/>
      <c r="AF73" s="231"/>
      <c r="AK73" s="222"/>
      <c r="AM73" s="228"/>
      <c r="AN73" s="121"/>
    </row>
    <row r="74" ht="14.25" customHeight="1">
      <c r="B74" s="77" t="str">
        <f>IF(Universal!printer_index&lt;11,"Layer speed",IF(C14="TurboFuse","X-Series Layer speed with TurboFuse","Layer speed"))</f>
        <v>Layer speed</v>
      </c>
      <c r="C74" s="232">
        <f>VLOOKUP($B74,Inputs!$B:$Q,Universal!printer_index+1,0)</f>
        <v>26</v>
      </c>
      <c r="D74" s="10" t="s">
        <v>52</v>
      </c>
      <c r="G74" s="76"/>
      <c r="T74" s="222"/>
      <c r="V74" s="228"/>
      <c r="W74" s="121"/>
      <c r="AE74" s="228"/>
      <c r="AF74" s="231"/>
      <c r="AK74" s="222"/>
      <c r="AM74" s="228"/>
      <c r="AN74" s="121"/>
    </row>
    <row r="75" ht="14.25" customHeight="1">
      <c r="B75" s="77" t="s">
        <v>373</v>
      </c>
      <c r="C75" s="193">
        <f>Universal!part_x*Universal!x_scale</f>
        <v>35.01</v>
      </c>
      <c r="D75" s="10" t="s">
        <v>55</v>
      </c>
      <c r="G75" s="76"/>
      <c r="T75" s="222"/>
      <c r="V75" s="228"/>
      <c r="W75" s="121"/>
      <c r="AE75" s="228"/>
      <c r="AF75" s="231"/>
      <c r="AJ75" s="121"/>
      <c r="AM75" s="228"/>
      <c r="AN75" s="121"/>
    </row>
    <row r="76" ht="14.25" customHeight="1">
      <c r="B76" s="77" t="s">
        <v>374</v>
      </c>
      <c r="C76" s="193">
        <f>Universal!part_y*Universal!y_scale</f>
        <v>35.22</v>
      </c>
      <c r="D76" s="10" t="s">
        <v>55</v>
      </c>
      <c r="G76" s="76"/>
      <c r="R76" s="228"/>
      <c r="S76" s="121"/>
      <c r="V76" s="228"/>
      <c r="W76" s="121"/>
      <c r="AE76" s="228"/>
      <c r="AF76" s="231"/>
      <c r="AI76" s="228"/>
      <c r="AJ76" s="121"/>
      <c r="AM76" s="228"/>
      <c r="AN76" s="121"/>
    </row>
    <row r="77" ht="14.25" customHeight="1">
      <c r="B77" s="77" t="s">
        <v>375</v>
      </c>
      <c r="C77" s="193">
        <f>Universal!part_z*Universal!z_scale</f>
        <v>36.3</v>
      </c>
      <c r="D77" s="10" t="s">
        <v>55</v>
      </c>
      <c r="G77" s="76"/>
      <c r="O77" s="231"/>
      <c r="R77" s="228"/>
      <c r="S77" s="121"/>
      <c r="V77" s="228"/>
      <c r="W77" s="121"/>
      <c r="AE77" s="228"/>
      <c r="AF77" s="231"/>
      <c r="AI77" s="228"/>
      <c r="AJ77" s="121"/>
      <c r="AM77" s="228"/>
      <c r="AN77" s="121"/>
    </row>
    <row r="78" ht="14.25" customHeight="1">
      <c r="B78" s="77" t="s">
        <v>376</v>
      </c>
      <c r="C78" s="233">
        <f>Universal!part_vol*Universal!x_scale*Universal!y_scale*Universal!z_scale</f>
        <v>33501.54601</v>
      </c>
      <c r="D78" s="10" t="s">
        <v>223</v>
      </c>
      <c r="G78" s="76"/>
      <c r="N78" s="228"/>
      <c r="O78" s="231"/>
      <c r="R78" s="228"/>
      <c r="S78" s="121"/>
      <c r="V78" s="228"/>
      <c r="W78" s="121"/>
      <c r="AE78" s="228"/>
      <c r="AF78" s="231"/>
      <c r="AI78" s="228"/>
      <c r="AJ78" s="121"/>
      <c r="AM78" s="228"/>
      <c r="AN78" s="121"/>
    </row>
    <row r="79" ht="14.25" customHeight="1">
      <c r="B79" s="77" t="s">
        <v>377</v>
      </c>
      <c r="C79" s="233">
        <f>IF(Universal!override_nesting="Yes",IF(OR(C23=0,C24=0),C19,C23),C19)</f>
        <v>135</v>
      </c>
      <c r="G79" s="76"/>
      <c r="N79" s="228"/>
      <c r="O79" s="231"/>
      <c r="R79" s="228"/>
      <c r="S79" s="121"/>
      <c r="V79" s="228"/>
      <c r="W79" s="121"/>
      <c r="AE79" s="228"/>
      <c r="AF79" s="231"/>
      <c r="AI79" s="228"/>
      <c r="AJ79" s="121"/>
      <c r="AM79" s="228"/>
      <c r="AN79" s="121"/>
    </row>
    <row r="80" ht="14.25" customHeight="1">
      <c r="B80" s="77" t="s">
        <v>58</v>
      </c>
      <c r="C80" s="230">
        <f>VLOOKUP($B80,Inputs!$B:$Q,Universal!printer_index+1,0)</f>
        <v>0.56</v>
      </c>
      <c r="G80" s="76"/>
      <c r="N80" s="228"/>
      <c r="O80" s="231"/>
      <c r="R80" s="228"/>
      <c r="S80" s="121"/>
      <c r="V80" s="228"/>
      <c r="W80" s="121"/>
      <c r="AE80" s="228"/>
      <c r="AF80" s="231"/>
      <c r="AI80" s="228"/>
      <c r="AJ80" s="121"/>
      <c r="AM80" s="228"/>
      <c r="AN80" s="121"/>
    </row>
    <row r="81" ht="14.25" customHeight="1">
      <c r="B81" s="77" t="s">
        <v>54</v>
      </c>
      <c r="C81" s="234">
        <f>VLOOKUP($B81,Inputs!$B:$Q,Universal!printer_index+1,0)</f>
        <v>350</v>
      </c>
      <c r="D81" s="10" t="s">
        <v>55</v>
      </c>
      <c r="G81" s="76"/>
      <c r="N81" s="228"/>
      <c r="O81" s="231"/>
      <c r="R81" s="228"/>
      <c r="S81" s="121"/>
      <c r="V81" s="228"/>
      <c r="W81" s="121"/>
      <c r="AE81" s="228"/>
      <c r="AF81" s="231"/>
      <c r="AI81" s="228"/>
      <c r="AJ81" s="121"/>
      <c r="AM81" s="228"/>
      <c r="AN81" s="121"/>
    </row>
    <row r="82" ht="14.25" customHeight="1">
      <c r="B82" s="77" t="s">
        <v>56</v>
      </c>
      <c r="C82" s="234">
        <f>VLOOKUP($B82,Inputs!$B:$Q,Universal!printer_index+1,0)</f>
        <v>220</v>
      </c>
      <c r="D82" s="10" t="s">
        <v>55</v>
      </c>
      <c r="G82" s="76"/>
      <c r="N82" s="228"/>
      <c r="O82" s="231"/>
      <c r="R82" s="228"/>
      <c r="S82" s="121"/>
      <c r="V82" s="228"/>
      <c r="W82" s="121"/>
      <c r="AE82" s="228"/>
      <c r="AF82" s="231"/>
      <c r="AI82" s="228"/>
      <c r="AJ82" s="121"/>
      <c r="AM82" s="228"/>
      <c r="AN82" s="121"/>
    </row>
    <row r="83" ht="14.25" customHeight="1">
      <c r="B83" s="77" t="s">
        <v>57</v>
      </c>
      <c r="C83" s="234">
        <f>VLOOKUP($B83,Inputs!$B:$Q,Universal!printer_index+1,0)</f>
        <v>150</v>
      </c>
      <c r="D83" s="10" t="s">
        <v>55</v>
      </c>
      <c r="G83" s="76"/>
      <c r="N83" s="228"/>
      <c r="O83" s="231"/>
      <c r="R83" s="228"/>
      <c r="S83" s="121"/>
      <c r="V83" s="228"/>
      <c r="W83" s="121"/>
      <c r="AE83" s="228"/>
      <c r="AF83" s="231"/>
      <c r="AI83" s="228"/>
      <c r="AJ83" s="121"/>
      <c r="AM83" s="228"/>
      <c r="AN83" s="121"/>
    </row>
    <row r="84" ht="14.25" customHeight="1">
      <c r="B84" s="77" t="s">
        <v>378</v>
      </c>
      <c r="C84" s="119">
        <f>IF(Universal!override_nesting="Yes",IF(OR(C23=0,C24=0),C20,C24),C20)</f>
        <v>113.9</v>
      </c>
      <c r="D84" s="10" t="s">
        <v>55</v>
      </c>
      <c r="G84" s="76"/>
      <c r="N84" s="228"/>
      <c r="O84" s="231"/>
      <c r="R84" s="228"/>
      <c r="S84" s="121"/>
      <c r="V84" s="228"/>
      <c r="W84" s="121"/>
      <c r="AE84" s="228"/>
      <c r="AF84" s="231"/>
      <c r="AI84" s="228"/>
      <c r="AJ84" s="121"/>
      <c r="AM84" s="228"/>
      <c r="AN84" s="121"/>
    </row>
    <row r="85" ht="14.25" customHeight="1">
      <c r="B85" s="77" t="s">
        <v>379</v>
      </c>
      <c r="C85" s="119">
        <f>Universal!build_x*Universal!build_y*Universal!build_height</f>
        <v>8770300</v>
      </c>
      <c r="D85" s="10" t="s">
        <v>223</v>
      </c>
      <c r="N85" s="228"/>
      <c r="O85" s="231"/>
      <c r="R85" s="228"/>
      <c r="S85" s="121"/>
      <c r="V85" s="228"/>
      <c r="W85" s="121"/>
      <c r="AE85" s="228"/>
      <c r="AF85" s="231"/>
      <c r="AI85" s="228"/>
      <c r="AJ85" s="121"/>
      <c r="AM85" s="228"/>
      <c r="AN85" s="121"/>
    </row>
    <row r="86" ht="14.25" customHeight="1">
      <c r="B86" s="77" t="s">
        <v>380</v>
      </c>
      <c r="C86" s="119">
        <f>IF(Universal!printer_index&lt;=10,MAX(2*G11,G33*G30+ROUNDUP(G31/Universal!print_time_trn,0)),ROUNDUP((Universal!print_time_trn+G31+G43)/(Universal!avail_hours_yr/Universal!total_builds_yr),0))</f>
        <v>4</v>
      </c>
      <c r="G86" s="76"/>
      <c r="N86" s="228"/>
      <c r="O86" s="231"/>
      <c r="R86" s="228"/>
      <c r="S86" s="121"/>
      <c r="V86" s="228"/>
      <c r="W86" s="121"/>
      <c r="AE86" s="228"/>
      <c r="AF86" s="231"/>
      <c r="AI86" s="228"/>
      <c r="AJ86" s="121"/>
      <c r="AM86" s="228"/>
      <c r="AN86" s="121"/>
    </row>
    <row r="87" ht="14.25" customHeight="1">
      <c r="B87" s="77" t="s">
        <v>59</v>
      </c>
      <c r="C87" s="232">
        <f>VLOOKUP($B87,Inputs!$B:$Q,Universal!printer_index+1,0)</f>
        <v>1.8</v>
      </c>
      <c r="G87" s="76"/>
      <c r="N87" s="228"/>
      <c r="O87" s="231"/>
      <c r="R87" s="228"/>
      <c r="S87" s="121"/>
      <c r="V87" s="228"/>
      <c r="W87" s="121"/>
      <c r="AE87" s="228"/>
      <c r="AF87" s="231"/>
      <c r="AI87" s="228"/>
      <c r="AJ87" s="121"/>
      <c r="AM87" s="228"/>
      <c r="AN87" s="121"/>
    </row>
    <row r="88" ht="14.25" customHeight="1">
      <c r="B88" s="77" t="s">
        <v>60</v>
      </c>
      <c r="C88" s="235">
        <f>VLOOKUP($B88,Inputs!$B:$Q,Universal!printer_index+1,0)</f>
        <v>0.005</v>
      </c>
      <c r="G88" s="76"/>
      <c r="N88" s="228"/>
      <c r="O88" s="231"/>
      <c r="R88" s="228"/>
      <c r="S88" s="121"/>
      <c r="V88" s="228"/>
      <c r="W88" s="121"/>
      <c r="AE88" s="228"/>
      <c r="AF88" s="231"/>
      <c r="AI88" s="228"/>
      <c r="AJ88" s="121"/>
      <c r="AM88" s="228"/>
      <c r="AN88" s="121"/>
    </row>
    <row r="89" ht="14.25" customHeight="1">
      <c r="B89" s="77" t="s">
        <v>61</v>
      </c>
      <c r="C89" s="230">
        <f>VLOOKUP($B89,Inputs!$B:$Q,Universal!printer_index+1,0)</f>
        <v>0.6818181818</v>
      </c>
      <c r="G89" s="76"/>
      <c r="N89" s="228"/>
      <c r="O89" s="231"/>
      <c r="R89" s="228"/>
      <c r="S89" s="121"/>
      <c r="V89" s="228"/>
      <c r="W89" s="121"/>
      <c r="AE89" s="228"/>
      <c r="AF89" s="231"/>
      <c r="AI89" s="228"/>
      <c r="AJ89" s="121"/>
      <c r="AM89" s="228"/>
      <c r="AN89" s="121"/>
    </row>
    <row r="90" ht="14.25" customHeight="1">
      <c r="B90" s="77" t="s">
        <v>64</v>
      </c>
      <c r="C90" s="232">
        <f>VLOOKUP($B90,Inputs!$B:$Q,Universal!printer_index+1,0)</f>
        <v>1.5</v>
      </c>
      <c r="D90" s="10" t="s">
        <v>65</v>
      </c>
      <c r="G90" s="76"/>
      <c r="N90" s="228"/>
      <c r="O90" s="231"/>
      <c r="R90" s="228"/>
      <c r="S90" s="121"/>
      <c r="V90" s="228"/>
      <c r="W90" s="121"/>
      <c r="AE90" s="228"/>
      <c r="AF90" s="231"/>
      <c r="AI90" s="228"/>
      <c r="AJ90" s="121"/>
      <c r="AM90" s="228"/>
      <c r="AN90" s="121"/>
    </row>
    <row r="91" ht="14.25" customHeight="1">
      <c r="B91" s="77" t="s">
        <v>62</v>
      </c>
      <c r="C91" s="232">
        <f>VLOOKUP($B91,Inputs!$B:$Q,Universal!printer_index+1,0)</f>
        <v>16</v>
      </c>
      <c r="D91" s="10" t="s">
        <v>63</v>
      </c>
      <c r="G91" s="76"/>
      <c r="N91" s="228"/>
      <c r="O91" s="231"/>
      <c r="R91" s="228"/>
      <c r="S91" s="121"/>
      <c r="V91" s="228"/>
      <c r="W91" s="121"/>
      <c r="AE91" s="228"/>
      <c r="AF91" s="231"/>
      <c r="AI91" s="228"/>
      <c r="AJ91" s="121"/>
      <c r="AM91" s="228"/>
      <c r="AN91" s="121"/>
    </row>
    <row r="92" ht="14.25" customHeight="1">
      <c r="B92" s="77" t="s">
        <v>91</v>
      </c>
      <c r="C92" s="234">
        <f>VLOOKUP($B92,Inputs!$B:$Q,Universal!printer_index+1,0)</f>
        <v>4000</v>
      </c>
      <c r="D92" s="10" t="s">
        <v>63</v>
      </c>
      <c r="G92" s="76"/>
      <c r="N92" s="228"/>
      <c r="O92" s="231"/>
      <c r="R92" s="228"/>
      <c r="S92" s="121"/>
      <c r="V92" s="228"/>
      <c r="W92" s="121"/>
      <c r="AE92" s="228"/>
      <c r="AF92" s="231"/>
      <c r="AI92" s="228"/>
      <c r="AJ92" s="121"/>
      <c r="AM92" s="228"/>
      <c r="AN92" s="121"/>
    </row>
    <row r="93" ht="14.25" customHeight="1">
      <c r="B93" s="77" t="s">
        <v>93</v>
      </c>
      <c r="C93" s="234">
        <f>VLOOKUP($B93,Inputs!$B:$Q,Universal!printer_index+1,0)</f>
        <v>8000</v>
      </c>
      <c r="D93" s="10" t="s">
        <v>63</v>
      </c>
      <c r="G93" s="76"/>
      <c r="N93" s="228"/>
      <c r="O93" s="231"/>
      <c r="R93" s="228"/>
      <c r="S93" s="121"/>
      <c r="V93" s="228"/>
      <c r="W93" s="121"/>
      <c r="AE93" s="228"/>
      <c r="AF93" s="231"/>
      <c r="AI93" s="228"/>
      <c r="AJ93" s="121"/>
      <c r="AM93" s="228"/>
      <c r="AN93" s="121"/>
    </row>
    <row r="94" ht="14.25" customHeight="1">
      <c r="B94" s="77" t="s">
        <v>94</v>
      </c>
      <c r="C94" s="232">
        <f>VLOOKUP($B94,Inputs!$B:$Q,Universal!printer_index+1,0)</f>
        <v>10</v>
      </c>
      <c r="D94" s="10" t="s">
        <v>95</v>
      </c>
      <c r="G94" s="76"/>
      <c r="N94" s="228"/>
      <c r="O94" s="231"/>
      <c r="R94" s="228"/>
      <c r="S94" s="121"/>
      <c r="V94" s="228"/>
      <c r="W94" s="121"/>
      <c r="AE94" s="228"/>
      <c r="AF94" s="231"/>
      <c r="AI94" s="228"/>
      <c r="AJ94" s="121"/>
      <c r="AM94" s="228"/>
      <c r="AN94" s="121"/>
    </row>
    <row r="95" ht="14.25" customHeight="1">
      <c r="B95" s="77" t="s">
        <v>96</v>
      </c>
      <c r="C95" s="232">
        <f>VLOOKUP($B95,Inputs!$B:$Q,Universal!printer_index+1,0)</f>
        <v>0</v>
      </c>
      <c r="D95" s="10" t="s">
        <v>63</v>
      </c>
      <c r="G95" s="76"/>
      <c r="N95" s="228"/>
      <c r="O95" s="231"/>
      <c r="R95" s="228"/>
      <c r="S95" s="121"/>
      <c r="V95" s="228"/>
      <c r="W95" s="121"/>
      <c r="AE95" s="228"/>
      <c r="AF95" s="231"/>
      <c r="AI95" s="228"/>
      <c r="AJ95" s="121"/>
      <c r="AM95" s="228"/>
      <c r="AN95" s="121"/>
    </row>
    <row r="96" ht="14.25" customHeight="1">
      <c r="B96" s="77" t="s">
        <v>97</v>
      </c>
      <c r="C96" s="232">
        <f>VLOOKUP($B96,Inputs!$B:$Q,Universal!printer_index+1,0)</f>
        <v>0</v>
      </c>
      <c r="D96" s="10" t="s">
        <v>65</v>
      </c>
      <c r="N96" s="228"/>
      <c r="O96" s="231"/>
      <c r="R96" s="228"/>
      <c r="S96" s="121"/>
      <c r="V96" s="228"/>
      <c r="W96" s="121"/>
      <c r="AE96" s="228"/>
      <c r="AF96" s="231"/>
      <c r="AI96" s="228"/>
      <c r="AJ96" s="121"/>
      <c r="AM96" s="228"/>
      <c r="AN96" s="121"/>
    </row>
    <row r="97" ht="14.25" customHeight="1">
      <c r="B97" s="77" t="s">
        <v>69</v>
      </c>
      <c r="C97" s="232">
        <f>VLOOKUP($B97,Inputs!$B:$Q,Universal!printer_index+1,0)</f>
        <v>4</v>
      </c>
      <c r="D97" s="10" t="s">
        <v>55</v>
      </c>
      <c r="N97" s="228"/>
      <c r="O97" s="231"/>
      <c r="R97" s="228"/>
      <c r="S97" s="121"/>
      <c r="V97" s="228"/>
      <c r="W97" s="121"/>
      <c r="AE97" s="228"/>
      <c r="AF97" s="231"/>
      <c r="AI97" s="228"/>
      <c r="AJ97" s="121"/>
      <c r="AM97" s="228"/>
      <c r="AN97" s="121"/>
    </row>
    <row r="98" ht="14.25" customHeight="1">
      <c r="B98" s="77" t="s">
        <v>70</v>
      </c>
      <c r="C98" s="232">
        <f>VLOOKUP($B98,Inputs!$B:$Q,Universal!printer_index+1,0)</f>
        <v>3</v>
      </c>
      <c r="D98" s="10" t="s">
        <v>55</v>
      </c>
      <c r="N98" s="228"/>
      <c r="O98" s="231"/>
      <c r="R98" s="228"/>
      <c r="S98" s="121"/>
      <c r="V98" s="228"/>
      <c r="W98" s="121"/>
      <c r="AE98" s="228"/>
      <c r="AF98" s="231"/>
      <c r="AI98" s="228"/>
      <c r="AJ98" s="121"/>
      <c r="AM98" s="228"/>
      <c r="AN98" s="121"/>
    </row>
    <row r="99" ht="14.25" customHeight="1">
      <c r="B99" s="77" t="s">
        <v>71</v>
      </c>
      <c r="C99" s="232">
        <f>VLOOKUP($B99,Inputs!$B:$Q,Universal!printer_index+1,0)</f>
        <v>1</v>
      </c>
      <c r="D99" s="10" t="s">
        <v>55</v>
      </c>
      <c r="N99" s="228"/>
      <c r="O99" s="231"/>
      <c r="R99" s="228"/>
      <c r="S99" s="121"/>
      <c r="V99" s="228"/>
      <c r="W99" s="121"/>
      <c r="AE99" s="228"/>
      <c r="AF99" s="231"/>
      <c r="AI99" s="228"/>
      <c r="AJ99" s="121"/>
      <c r="AM99" s="228"/>
      <c r="AN99" s="121"/>
    </row>
    <row r="100" ht="14.25" customHeight="1">
      <c r="B100" s="77" t="s">
        <v>72</v>
      </c>
      <c r="C100" s="232">
        <f>VLOOKUP($B100,Inputs!$B:$Q,Universal!printer_index+1,0)</f>
        <v>1</v>
      </c>
      <c r="D100" s="10" t="s">
        <v>55</v>
      </c>
      <c r="N100" s="228"/>
      <c r="O100" s="231"/>
      <c r="R100" s="228"/>
      <c r="S100" s="121"/>
      <c r="V100" s="228"/>
      <c r="W100" s="121"/>
      <c r="AE100" s="228"/>
      <c r="AF100" s="231"/>
      <c r="AI100" s="228"/>
      <c r="AJ100" s="121"/>
    </row>
    <row r="101" ht="14.25" customHeight="1">
      <c r="B101" s="77" t="str">
        <f>IF(Universal!printer_index&lt;11,"Crosslink time",IF(C14="TurboFuse","X-Series Crosslink time with TurboFuse","Crosslink time"))</f>
        <v>Crosslink time</v>
      </c>
      <c r="C101" s="232">
        <f>VLOOKUP($B101,Inputs!$B:$Q,Universal!printer_index+1,0)</f>
        <v>26</v>
      </c>
      <c r="D101" s="10" t="s">
        <v>81</v>
      </c>
      <c r="N101" s="228"/>
      <c r="O101" s="231"/>
      <c r="R101" s="228"/>
      <c r="S101" s="121"/>
      <c r="V101" s="228"/>
      <c r="W101" s="121"/>
      <c r="AE101" s="228"/>
      <c r="AF101" s="231"/>
      <c r="AI101" s="228"/>
    </row>
    <row r="102" ht="14.25" customHeight="1">
      <c r="B102" s="77" t="s">
        <v>84</v>
      </c>
      <c r="C102" s="234">
        <f>VLOOKUP($B102,Inputs!$B:$Q,Universal!printer_index+1,0)</f>
        <v>2</v>
      </c>
      <c r="N102" s="228"/>
      <c r="O102" s="231"/>
      <c r="AE102" s="228"/>
      <c r="AF102" s="231"/>
      <c r="AM102" s="228"/>
      <c r="AN102" s="121"/>
    </row>
    <row r="103" ht="14.25" customHeight="1">
      <c r="B103" s="77" t="s">
        <v>86</v>
      </c>
      <c r="C103" s="234">
        <f>VLOOKUP($B103,Inputs!$B:$Q,Universal!printer_index+1,0)</f>
        <v>45</v>
      </c>
      <c r="D103" s="10" t="s">
        <v>87</v>
      </c>
      <c r="N103" s="228"/>
      <c r="O103" s="231"/>
      <c r="AE103" s="228"/>
      <c r="AF103" s="231"/>
      <c r="AJ103" s="121"/>
      <c r="AM103" s="228"/>
      <c r="AN103" s="121"/>
    </row>
    <row r="104" ht="14.25" customHeight="1">
      <c r="B104" s="77" t="s">
        <v>88</v>
      </c>
      <c r="C104" s="234">
        <f>VLOOKUP(B104,Inputs!$B:$Q,Universal!printer_index+1,0)</f>
        <v>0</v>
      </c>
      <c r="G104" s="76"/>
      <c r="N104" s="228"/>
      <c r="O104" s="231"/>
      <c r="R104" s="228"/>
      <c r="S104" s="121"/>
      <c r="V104" s="228"/>
      <c r="W104" s="121"/>
      <c r="AI104" s="228"/>
      <c r="AJ104" s="121"/>
      <c r="AM104" s="228"/>
      <c r="AN104" s="121"/>
    </row>
    <row r="105" ht="14.25" customHeight="1">
      <c r="B105" s="77" t="s">
        <v>89</v>
      </c>
      <c r="C105" s="234">
        <f>VLOOKUP(B105,Inputs!$B:$Q,Universal!printer_index+1,0)</f>
        <v>0</v>
      </c>
      <c r="G105" s="76"/>
      <c r="N105" s="228"/>
      <c r="O105" s="231"/>
      <c r="R105" s="228"/>
      <c r="S105" s="121"/>
      <c r="V105" s="228"/>
      <c r="W105" s="121"/>
      <c r="AI105" s="228"/>
      <c r="AJ105" s="121"/>
      <c r="AM105" s="228"/>
      <c r="AN105" s="121"/>
    </row>
    <row r="106" ht="14.25" customHeight="1">
      <c r="B106" s="77" t="s">
        <v>381</v>
      </c>
      <c r="C106" s="236">
        <f>24*7*Universal!weeks_yr</f>
        <v>8400</v>
      </c>
      <c r="G106" s="76"/>
      <c r="N106" s="228"/>
      <c r="O106" s="231"/>
      <c r="R106" s="228"/>
      <c r="S106" s="121"/>
      <c r="V106" s="228"/>
      <c r="W106" s="121"/>
      <c r="AI106" s="228"/>
      <c r="AJ106" s="121"/>
      <c r="AM106" s="228"/>
      <c r="AN106" s="121"/>
    </row>
    <row r="107" ht="14.25" customHeight="1">
      <c r="B107" s="77" t="s">
        <v>99</v>
      </c>
      <c r="C107" s="237">
        <f>VLOOKUP($B107,Inputs!$B:$Q,Universal!printer_index+1,0)</f>
        <v>0.5</v>
      </c>
      <c r="D107" s="10" t="s">
        <v>81</v>
      </c>
      <c r="G107" s="76"/>
      <c r="N107" s="228"/>
      <c r="O107" s="231"/>
      <c r="R107" s="228"/>
      <c r="S107" s="121"/>
      <c r="V107" s="228"/>
      <c r="W107" s="121"/>
      <c r="AE107" s="228"/>
      <c r="AF107" s="231"/>
      <c r="AI107" s="228"/>
      <c r="AJ107" s="121"/>
    </row>
    <row r="108" ht="14.25" customHeight="1">
      <c r="B108" s="77" t="s">
        <v>100</v>
      </c>
      <c r="C108" s="237">
        <f>VLOOKUP($B108,Inputs!$B:$Q,Universal!printer_index+1,0)</f>
        <v>0.5</v>
      </c>
      <c r="D108" s="10" t="s">
        <v>81</v>
      </c>
      <c r="G108" s="76"/>
      <c r="N108" s="228"/>
      <c r="O108" s="231"/>
      <c r="R108" s="228"/>
      <c r="S108" s="121"/>
      <c r="V108" s="228"/>
      <c r="W108" s="121"/>
      <c r="AE108" s="228"/>
      <c r="AF108" s="231"/>
      <c r="AI108" s="228"/>
    </row>
    <row r="109" ht="14.25" customHeight="1">
      <c r="B109" s="77" t="s">
        <v>101</v>
      </c>
      <c r="C109" s="237">
        <f>VLOOKUP($B109,Inputs!$B:$Q,Universal!printer_index+1,0)</f>
        <v>0.5</v>
      </c>
      <c r="D109" s="10" t="s">
        <v>81</v>
      </c>
      <c r="AE109" s="228"/>
      <c r="AF109" s="231"/>
    </row>
    <row r="110" ht="14.25" customHeight="1">
      <c r="B110" s="77" t="s">
        <v>102</v>
      </c>
      <c r="C110" s="237">
        <f>VLOOKUP($B110,Inputs!$B:$Q,Universal!printer_index+1,0)</f>
        <v>0.25</v>
      </c>
      <c r="D110" s="10" t="s">
        <v>81</v>
      </c>
      <c r="AE110" s="228"/>
      <c r="AF110" s="231"/>
    </row>
    <row r="111" ht="14.25" customHeight="1">
      <c r="B111" s="136" t="s">
        <v>103</v>
      </c>
      <c r="C111" s="238">
        <f>VLOOKUP($B111,Inputs!$B:$Q,Universal!printer_index+1,0)</f>
        <v>0</v>
      </c>
      <c r="D111" s="10" t="s">
        <v>81</v>
      </c>
      <c r="AE111" s="228"/>
      <c r="AF111" s="231"/>
      <c r="AJ111" s="121"/>
    </row>
    <row r="112" ht="14.25" customHeight="1">
      <c r="A112" s="10" t="s">
        <v>45</v>
      </c>
      <c r="N112" s="228"/>
      <c r="O112" s="231"/>
      <c r="R112" s="228"/>
      <c r="S112" s="121"/>
      <c r="AE112" s="228"/>
      <c r="AF112" s="231"/>
      <c r="AI112" s="228"/>
      <c r="AJ112" s="121"/>
    </row>
    <row r="113" ht="14.25" customHeight="1">
      <c r="B113" s="96" t="s">
        <v>382</v>
      </c>
      <c r="C113" s="115"/>
      <c r="N113" s="228"/>
      <c r="O113" s="231"/>
      <c r="R113" s="228"/>
      <c r="S113" s="121"/>
      <c r="AE113" s="228"/>
      <c r="AF113" s="231"/>
      <c r="AI113" s="228"/>
      <c r="AJ113" s="121"/>
    </row>
    <row r="114" ht="14.25" customHeight="1">
      <c r="B114" s="77" t="s">
        <v>383</v>
      </c>
      <c r="C114" s="229">
        <f>MATCH(Universal!furnace_sel,Inputs!$C$178:$Q$178,0)</f>
        <v>2</v>
      </c>
      <c r="N114" s="228"/>
      <c r="O114" s="231"/>
      <c r="R114" s="228"/>
      <c r="S114" s="121"/>
      <c r="AE114" s="228"/>
      <c r="AF114" s="231"/>
      <c r="AI114" s="228"/>
    </row>
    <row r="115" ht="14.25" customHeight="1">
      <c r="B115" s="77" t="s">
        <v>180</v>
      </c>
      <c r="C115" s="239">
        <f>VLOOKUP($B115,Inputs!$B:$S,Universal!furnace_index+1,0)</f>
        <v>244</v>
      </c>
      <c r="D115" s="10" t="s">
        <v>55</v>
      </c>
      <c r="N115" s="228"/>
      <c r="O115" s="231"/>
      <c r="AE115" s="228"/>
      <c r="AF115" s="231"/>
    </row>
    <row r="116" ht="14.25" customHeight="1">
      <c r="B116" s="77" t="s">
        <v>181</v>
      </c>
      <c r="C116" s="239">
        <f>VLOOKUP($B116,Inputs!$B:$S,Universal!furnace_index+1,0)</f>
        <v>270</v>
      </c>
      <c r="D116" s="10" t="s">
        <v>55</v>
      </c>
      <c r="N116" s="228"/>
      <c r="O116" s="231"/>
      <c r="AE116" s="228"/>
      <c r="AF116" s="231"/>
    </row>
    <row r="117" ht="14.25" customHeight="1">
      <c r="B117" s="77" t="s">
        <v>182</v>
      </c>
      <c r="C117" s="239">
        <f>VLOOKUP($B117,Inputs!$B:$S,Universal!furnace_index+1,0)</f>
        <v>265</v>
      </c>
      <c r="D117" s="10" t="s">
        <v>55</v>
      </c>
      <c r="N117" s="228"/>
      <c r="O117" s="231"/>
      <c r="AE117" s="228"/>
      <c r="AF117" s="231"/>
    </row>
    <row r="118" ht="14.25" customHeight="1">
      <c r="B118" s="77" t="s">
        <v>185</v>
      </c>
      <c r="C118" s="239">
        <f>VLOOKUP($B118,Inputs!$B:$S,Universal!furnace_index+1,0)</f>
        <v>7</v>
      </c>
      <c r="N118" s="228"/>
      <c r="O118" s="231"/>
      <c r="AE118" s="228"/>
      <c r="AF118" s="231"/>
      <c r="AM118" s="228"/>
      <c r="AN118" s="121"/>
    </row>
    <row r="119" ht="14.25" customHeight="1">
      <c r="B119" s="77" t="s">
        <v>186</v>
      </c>
      <c r="C119" s="239">
        <f>VLOOKUP($B119,Inputs!$B:$S,Universal!furnace_index+1,0)</f>
        <v>23</v>
      </c>
      <c r="D119" s="10" t="s">
        <v>81</v>
      </c>
      <c r="N119" s="228"/>
      <c r="O119" s="231"/>
      <c r="AE119" s="228"/>
      <c r="AF119" s="231"/>
      <c r="AM119" s="228"/>
      <c r="AN119" s="121"/>
    </row>
    <row r="120" ht="14.25" customHeight="1">
      <c r="B120" s="77" t="str">
        <f>IF(Universal!furnace_sel="Continuous","MIM furnace utilities rate","Furnace gas consumption")</f>
        <v>Furnace gas consumption</v>
      </c>
      <c r="C120" s="239">
        <f>VLOOKUP($B120,Inputs!$B:$S,Universal!furnace_index+1,0)</f>
        <v>6300</v>
      </c>
      <c r="D120" s="10" t="str">
        <f>IF(Universal!furnace_sel="Continuous","$/hr","L/hr")</f>
        <v>L/hr</v>
      </c>
      <c r="N120" s="228"/>
      <c r="O120" s="231"/>
      <c r="V120" s="228"/>
      <c r="W120" s="121"/>
      <c r="AE120" s="228"/>
      <c r="AF120" s="231"/>
    </row>
    <row r="121" ht="14.25" customHeight="1">
      <c r="B121" s="77" t="str">
        <f>IF(Universal!furnace_sel="Continuous","MIM furnace consumables rate","Furnace power consumption")</f>
        <v>Furnace power consumption</v>
      </c>
      <c r="C121" s="239">
        <f>VLOOKUP($B121,Inputs!$B:$S,Universal!furnace_index+1,0)</f>
        <v>7</v>
      </c>
      <c r="D121" s="10" t="str">
        <f>IF(Universal!furnace_sel="Continuous","$/hr","kW")</f>
        <v>kW</v>
      </c>
      <c r="N121" s="228"/>
      <c r="O121" s="231"/>
      <c r="V121" s="228"/>
      <c r="W121" s="121"/>
      <c r="AE121" s="228"/>
      <c r="AF121" s="231"/>
    </row>
    <row r="122" ht="14.25" customHeight="1">
      <c r="B122" s="77" t="s">
        <v>197</v>
      </c>
      <c r="C122" s="240">
        <f>VLOOKUP($B122,Inputs!$B:$S,Universal!furnace_index+1,0)</f>
        <v>60</v>
      </c>
      <c r="D122" s="10" t="s">
        <v>384</v>
      </c>
      <c r="N122" s="228"/>
      <c r="O122" s="231"/>
      <c r="AE122" s="228"/>
      <c r="AF122" s="231"/>
    </row>
    <row r="123" ht="14.25" customHeight="1">
      <c r="B123" s="77" t="s">
        <v>198</v>
      </c>
      <c r="C123" s="221" t="str">
        <f>VLOOKUP($B123,Inputs!$B:$S,Universal!furnace_index+1,0)</f>
        <v/>
      </c>
      <c r="D123" s="10" t="s">
        <v>384</v>
      </c>
      <c r="N123" s="228"/>
      <c r="O123" s="231"/>
      <c r="AE123" s="228"/>
      <c r="AF123" s="231"/>
      <c r="AJ123" s="121"/>
    </row>
    <row r="124" ht="14.25" customHeight="1">
      <c r="B124" s="77" t="s">
        <v>199</v>
      </c>
      <c r="C124" s="221">
        <f>VLOOKUP($B124,Inputs!$B:$S,Universal!furnace_index+1,0)</f>
        <v>0.001912950192</v>
      </c>
      <c r="D124" s="10" t="s">
        <v>349</v>
      </c>
      <c r="N124" s="228"/>
      <c r="O124" s="231"/>
      <c r="R124" s="228"/>
      <c r="S124" s="121"/>
      <c r="AE124" s="228"/>
      <c r="AF124" s="231"/>
      <c r="AI124" s="228"/>
      <c r="AJ124" s="121"/>
    </row>
    <row r="125" ht="14.25" customHeight="1">
      <c r="B125" s="77" t="s">
        <v>195</v>
      </c>
      <c r="C125" s="221">
        <f>VLOOKUP($B125,Inputs!$B:$S,Universal!furnace_index+1,0)</f>
        <v>0.77</v>
      </c>
      <c r="D125" s="10" t="s">
        <v>358</v>
      </c>
      <c r="N125" s="228"/>
      <c r="O125" s="231"/>
      <c r="R125" s="228"/>
      <c r="S125" s="121"/>
      <c r="AE125" s="228"/>
      <c r="AF125" s="231"/>
      <c r="AI125" s="228"/>
      <c r="AJ125" s="121"/>
    </row>
    <row r="126" ht="14.25" customHeight="1">
      <c r="B126" s="77" t="s">
        <v>196</v>
      </c>
      <c r="C126" s="221">
        <f>VLOOKUP($B126,Inputs!$B:$S,Universal!furnace_index+1,0)</f>
        <v>2.6</v>
      </c>
      <c r="D126" s="10" t="s">
        <v>358</v>
      </c>
      <c r="N126" s="228"/>
      <c r="O126" s="231"/>
      <c r="R126" s="228"/>
      <c r="S126" s="121"/>
      <c r="AI126" s="228"/>
      <c r="AJ126" s="121"/>
    </row>
    <row r="127" ht="14.25" customHeight="1">
      <c r="B127" s="77" t="s">
        <v>385</v>
      </c>
      <c r="C127" s="125">
        <f>IF(Universal!furnace_sel="Shop",IF(OR(Universal!part_scale_x&gt;Universal!dm_furnace_x,Universal!part_scale_y&gt;Universal!dm_furnace_y),IF(AND(Universal!part_scale_y&lt;=Universal!dm_furnace_x,Universal!part_scale_x&lt;=Universal!dm_furnace_y),Universal!part_scale_y,"N.A."),Universal!part_scale_x),IF(OR(Universal!part_scale_x&gt;Universal!mim_furnace_x,Universal!part_scale_y&gt;Universal!mim_furnace_y),IF(AND(Universal!part_scale_y&lt;=Universal!mim_furnace_x,Universal!part_scale_x&lt;=Universal!mim_furnace_y),Universal!part_scale_y,"N.A."),Universal!part_scale_x))</f>
        <v>35.01</v>
      </c>
      <c r="D127" s="10" t="s">
        <v>55</v>
      </c>
      <c r="N127" s="228"/>
      <c r="O127" s="231"/>
      <c r="R127" s="228"/>
      <c r="S127" s="121"/>
      <c r="AI127" s="228"/>
      <c r="AJ127" s="121"/>
    </row>
    <row r="128" ht="14.25" customHeight="1">
      <c r="B128" s="77" t="s">
        <v>386</v>
      </c>
      <c r="C128" s="125">
        <f>IF(C127=Universal!part_scale_x,Universal!part_scale_y,IF(C127=Universal!part_scale_y,Universal!part_scale_x,"N.A."))</f>
        <v>35.22</v>
      </c>
      <c r="D128" s="10" t="s">
        <v>55</v>
      </c>
      <c r="N128" s="228"/>
      <c r="O128" s="231"/>
      <c r="R128" s="228"/>
      <c r="S128" s="121"/>
      <c r="AI128" s="228"/>
      <c r="AJ128" s="121"/>
    </row>
    <row r="129" ht="14.25" customHeight="1">
      <c r="B129" s="77" t="s">
        <v>387</v>
      </c>
      <c r="C129" s="125">
        <f>IF(OR(C127="N.A.",C128="N.A."),"N.A.",Universal!part_scale_z)</f>
        <v>36.3</v>
      </c>
      <c r="D129" s="10" t="s">
        <v>55</v>
      </c>
      <c r="N129" s="228"/>
      <c r="O129" s="231"/>
      <c r="R129" s="228"/>
      <c r="S129" s="121"/>
      <c r="AI129" s="228"/>
    </row>
    <row r="130" ht="14.25" customHeight="1">
      <c r="B130" s="77" t="s">
        <v>191</v>
      </c>
      <c r="C130" s="232">
        <f>VLOOKUP($B130,Inputs!$B:$S,Universal!furnace_index+1,FALSE)</f>
        <v>5</v>
      </c>
      <c r="D130" s="10" t="s">
        <v>55</v>
      </c>
      <c r="G130" s="231"/>
      <c r="H130" s="231"/>
      <c r="N130" s="228"/>
      <c r="O130" s="231"/>
    </row>
    <row r="131" ht="14.25" customHeight="1">
      <c r="B131" s="77" t="s">
        <v>192</v>
      </c>
      <c r="C131" s="232">
        <f>VLOOKUP($B131,Inputs!$B:$S,Universal!furnace_index+1,FALSE)</f>
        <v>2</v>
      </c>
      <c r="D131" s="10" t="s">
        <v>55</v>
      </c>
      <c r="AE131" s="228"/>
      <c r="AF131" s="231"/>
      <c r="AM131" s="228"/>
      <c r="AN131" s="121"/>
    </row>
    <row r="132" ht="14.25" customHeight="1">
      <c r="B132" s="136" t="s">
        <v>190</v>
      </c>
      <c r="C132" s="241" t="str">
        <f>VLOOKUP($B132,Inputs!$B:$S,Universal!furnace_index+1,FALSE)</f>
        <v/>
      </c>
      <c r="D132" s="10" t="s">
        <v>55</v>
      </c>
      <c r="AM132" s="228"/>
      <c r="AN132" s="121"/>
    </row>
    <row r="133" ht="14.25" customHeight="1">
      <c r="A133" s="10" t="s">
        <v>45</v>
      </c>
      <c r="V133" s="228"/>
      <c r="W133" s="121"/>
    </row>
    <row r="134" ht="14.25" customHeight="1">
      <c r="B134" s="96" t="s">
        <v>110</v>
      </c>
      <c r="C134" s="115"/>
      <c r="F134" s="9"/>
      <c r="V134" s="228"/>
      <c r="W134" s="121"/>
    </row>
    <row r="135" ht="14.25" customHeight="1">
      <c r="B135" s="77" t="s">
        <v>111</v>
      </c>
      <c r="C135" s="242">
        <f>VLOOKUP($B135,Inputs!$B:$Q,Universal!printer_index+1,0)</f>
        <v>5</v>
      </c>
      <c r="D135" s="10" t="s">
        <v>112</v>
      </c>
      <c r="AJ135" s="121"/>
    </row>
    <row r="136" ht="14.25" customHeight="1">
      <c r="B136" s="77" t="s">
        <v>113</v>
      </c>
      <c r="C136" s="242">
        <f>VLOOKUP($B136,Inputs!$B:$Q,Universal!printer_index+1,0)</f>
        <v>2.97</v>
      </c>
      <c r="D136" s="10" t="s">
        <v>112</v>
      </c>
      <c r="N136" s="228"/>
      <c r="O136" s="231"/>
      <c r="R136" s="228"/>
      <c r="S136" s="121"/>
      <c r="AI136" s="228"/>
    </row>
    <row r="137" ht="14.25" customHeight="1">
      <c r="B137" s="77" t="s">
        <v>114</v>
      </c>
      <c r="C137" s="242">
        <f>VLOOKUP($B137,Inputs!$B:$Q,Universal!printer_index+1,0)</f>
        <v>0.34</v>
      </c>
      <c r="D137" s="10" t="s">
        <v>112</v>
      </c>
      <c r="E137" s="124"/>
      <c r="AM137" s="228"/>
      <c r="AN137" s="121"/>
    </row>
    <row r="138" ht="14.25" customHeight="1">
      <c r="B138" s="77" t="s">
        <v>115</v>
      </c>
      <c r="C138" s="242">
        <f>VLOOKUP($B138,Inputs!$B:$Q,Universal!printer_index+1,0)</f>
        <v>0.66</v>
      </c>
      <c r="D138" s="10" t="s">
        <v>112</v>
      </c>
      <c r="AE138" s="228"/>
      <c r="AF138" s="231"/>
      <c r="AM138" s="228"/>
      <c r="AN138" s="121"/>
    </row>
    <row r="139" ht="14.25" customHeight="1">
      <c r="A139" s="10" t="s">
        <v>45</v>
      </c>
      <c r="B139" s="123"/>
      <c r="C139" s="123"/>
      <c r="V139" s="228"/>
      <c r="W139" s="121"/>
    </row>
    <row r="140" ht="14.25" customHeight="1">
      <c r="B140" s="96" t="s">
        <v>104</v>
      </c>
      <c r="C140" s="115"/>
      <c r="F140" s="9"/>
      <c r="V140" s="228"/>
      <c r="W140" s="121"/>
    </row>
    <row r="141" ht="14.25" customHeight="1">
      <c r="B141" s="77" t="s">
        <v>105</v>
      </c>
      <c r="C141" s="242">
        <f>VLOOKUP($B141,Inputs!$B:$Q,Universal!printer_index+1,0)</f>
        <v>1.9192</v>
      </c>
      <c r="D141" s="10" t="s">
        <v>106</v>
      </c>
    </row>
    <row r="142" ht="14.25" customHeight="1">
      <c r="B142" s="77" t="s">
        <v>107</v>
      </c>
      <c r="C142" s="242">
        <f>VLOOKUP($B142,Inputs!$B:$Q,Universal!printer_index+1,0)</f>
        <v>0.8</v>
      </c>
      <c r="D142" s="10" t="s">
        <v>106</v>
      </c>
      <c r="AJ142" s="121"/>
    </row>
    <row r="143" ht="14.25" customHeight="1">
      <c r="B143" s="77" t="s">
        <v>108</v>
      </c>
      <c r="C143" s="242">
        <f>VLOOKUP($B143,Inputs!$B:$Q,Universal!printer_index+1,0)</f>
        <v>1.9192</v>
      </c>
      <c r="D143" s="10" t="s">
        <v>106</v>
      </c>
      <c r="N143" s="228"/>
      <c r="O143" s="231"/>
      <c r="R143" s="228"/>
      <c r="S143" s="121"/>
      <c r="AI143" s="228"/>
    </row>
    <row r="144" ht="14.25" customHeight="1">
      <c r="B144" s="77" t="s">
        <v>109</v>
      </c>
      <c r="C144" s="242">
        <f>VLOOKUP($B144,Inputs!$B:$Q,Universal!printer_index+1,0)</f>
        <v>0.64</v>
      </c>
      <c r="D144" s="10" t="s">
        <v>106</v>
      </c>
      <c r="E144" s="124"/>
    </row>
    <row r="145" ht="14.25" customHeight="1">
      <c r="B145" s="77" t="s">
        <v>194</v>
      </c>
      <c r="C145" s="242">
        <f>VLOOKUP($B145,Inputs!$B$178:$Q$193,Universal!furnace_index+1,0)</f>
        <v>0.95</v>
      </c>
      <c r="D145" s="10" t="s">
        <v>106</v>
      </c>
      <c r="AM145" s="228"/>
      <c r="AN145" s="121"/>
    </row>
    <row r="146" ht="14.25" customHeight="1">
      <c r="A146" s="10" t="s">
        <v>45</v>
      </c>
      <c r="B146" s="123"/>
      <c r="C146" s="123"/>
      <c r="AM146" s="228"/>
      <c r="AN146" s="121"/>
    </row>
    <row r="147" ht="14.25" customHeight="1">
      <c r="B147" s="96" t="s">
        <v>116</v>
      </c>
      <c r="C147" s="115"/>
      <c r="V147" s="228"/>
      <c r="W147" s="121"/>
      <c r="AE147" s="228"/>
      <c r="AF147" s="231"/>
      <c r="AM147" s="228"/>
      <c r="AN147" s="121"/>
    </row>
    <row r="148" ht="14.25" customHeight="1">
      <c r="B148" s="77" t="str">
        <f>Inputs!$B61</f>
        <v>Printer MSRP</v>
      </c>
      <c r="C148" s="243">
        <f>VLOOKUP($B148,Inputs!$B:$Q,Universal!printer_index+1,0)</f>
        <v>246995</v>
      </c>
      <c r="V148" s="228"/>
      <c r="W148" s="121"/>
      <c r="AE148" s="228"/>
      <c r="AF148" s="231"/>
    </row>
    <row r="149" ht="14.25" customHeight="1">
      <c r="B149" s="77" t="str">
        <f>Inputs!$B62</f>
        <v>Kegs MSRP</v>
      </c>
      <c r="C149" s="243">
        <f>VLOOKUP($B149,Inputs!$B:$Q,Universal!printer_index+1,0)</f>
        <v>6390</v>
      </c>
      <c r="F149" s="9"/>
      <c r="V149" s="228"/>
      <c r="W149" s="121"/>
      <c r="AE149" s="228"/>
      <c r="AF149" s="231"/>
    </row>
    <row r="150" ht="14.25" customHeight="1">
      <c r="B150" s="77" t="str">
        <f>Inputs!$B63</f>
        <v>Crosslink MSRP</v>
      </c>
      <c r="C150" s="243">
        <f>VLOOKUP($B150,Inputs!$B:$Q,Universal!printer_index+1,0)</f>
        <v>23540</v>
      </c>
      <c r="AE150" s="228"/>
      <c r="AF150" s="231"/>
    </row>
    <row r="151" ht="14.25" customHeight="1">
      <c r="B151" s="77" t="str">
        <f>Inputs!$B64</f>
        <v>Crosslink module MSRP</v>
      </c>
      <c r="C151" s="243">
        <f>VLOOKUP($B151,Inputs!$B:$Q,Universal!printer_index+1,0)</f>
        <v>0</v>
      </c>
      <c r="AJ151" s="121"/>
    </row>
    <row r="152" ht="14.25" customHeight="1">
      <c r="B152" s="77" t="str">
        <f>Inputs!$B65</f>
        <v>Depowder station MSRP</v>
      </c>
      <c r="C152" s="243">
        <f>VLOOKUP($B152,Inputs!$B:$Q,Universal!printer_index+1,0)</f>
        <v>35845</v>
      </c>
      <c r="G152" s="124"/>
      <c r="N152" s="228"/>
      <c r="O152" s="231"/>
      <c r="R152" s="228"/>
      <c r="S152" s="121"/>
      <c r="AI152" s="228"/>
      <c r="AJ152" s="121"/>
    </row>
    <row r="153" ht="14.25" customHeight="1">
      <c r="B153" s="77" t="str">
        <f>Inputs!$B66</f>
        <v>Powder processing MSRP</v>
      </c>
      <c r="C153" s="243">
        <f>VLOOKUP($B153,Inputs!$B:$Q,Universal!printer_index+1,0)</f>
        <v>9795</v>
      </c>
      <c r="E153" s="124"/>
      <c r="N153" s="228"/>
      <c r="O153" s="231"/>
      <c r="R153" s="228"/>
      <c r="S153" s="121"/>
      <c r="AI153" s="228"/>
      <c r="AJ153" s="121"/>
    </row>
    <row r="154" ht="14.25" customHeight="1">
      <c r="B154" s="77" t="str">
        <f>Inputs!$B68</f>
        <v>DM vacuum MSRP</v>
      </c>
      <c r="C154" s="243">
        <f>VLOOKUP($B154,Inputs!$B:$Q,Universal!printer_index+1,0)</f>
        <v>7995</v>
      </c>
      <c r="E154" s="124"/>
      <c r="N154" s="228"/>
      <c r="O154" s="231"/>
      <c r="R154" s="228"/>
      <c r="S154" s="121"/>
      <c r="AI154" s="228"/>
      <c r="AJ154" s="121"/>
    </row>
    <row r="155" ht="14.25" customHeight="1">
      <c r="B155" s="77" t="str">
        <f>Inputs!$B69</f>
        <v>Transfer cart MSRP</v>
      </c>
      <c r="C155" s="243">
        <f>VLOOKUP($B155,Inputs!$B:$Q,Universal!printer_index+1,0)</f>
        <v>8995</v>
      </c>
      <c r="E155" s="124"/>
      <c r="N155" s="228"/>
      <c r="O155" s="231"/>
      <c r="R155" s="228"/>
      <c r="S155" s="121"/>
      <c r="AE155" s="228"/>
      <c r="AF155" s="231"/>
      <c r="AI155" s="228"/>
    </row>
    <row r="156" ht="14.25" customHeight="1">
      <c r="B156" s="77" t="str">
        <f>Inputs!$B70</f>
        <v>Build box MSRP</v>
      </c>
      <c r="C156" s="243">
        <f>VLOOKUP($B156,Inputs!$B:$Q,Universal!printer_index+1,0)</f>
        <v>1600</v>
      </c>
      <c r="E156" s="124"/>
    </row>
    <row r="157" ht="14.25" customHeight="1">
      <c r="B157" s="77" t="s">
        <v>193</v>
      </c>
      <c r="C157" s="243">
        <f>VLOOKUP($B157,Inputs!$B$178:$Q$192,Universal!furnace_index+1,0)</f>
        <v>210000</v>
      </c>
      <c r="E157" s="124"/>
    </row>
    <row r="158" ht="14.25" customHeight="1">
      <c r="B158" s="77" t="s">
        <v>388</v>
      </c>
      <c r="C158" s="244">
        <v>100000.0</v>
      </c>
    </row>
    <row r="159" ht="14.25" customHeight="1">
      <c r="B159" s="77" t="s">
        <v>389</v>
      </c>
      <c r="C159" s="244">
        <v>150000.0</v>
      </c>
      <c r="G159" s="124"/>
      <c r="AJ159" s="121"/>
    </row>
    <row r="160" ht="14.25" customHeight="1">
      <c r="B160" s="77" t="s">
        <v>390</v>
      </c>
      <c r="C160" s="244">
        <v>200000.0</v>
      </c>
      <c r="E160" s="124"/>
      <c r="N160" s="228"/>
      <c r="O160" s="231"/>
      <c r="R160" s="228"/>
      <c r="S160" s="121"/>
      <c r="AI160" s="228"/>
    </row>
    <row r="161" ht="14.25" customHeight="1">
      <c r="B161" s="136" t="s">
        <v>391</v>
      </c>
      <c r="C161" s="244">
        <v>300000.0</v>
      </c>
      <c r="E161" s="124"/>
    </row>
    <row r="162" ht="14.25" customHeight="1">
      <c r="B162" s="79"/>
      <c r="C162" s="79"/>
      <c r="F162" s="9"/>
    </row>
    <row r="163" ht="14.25" customHeight="1">
      <c r="A163" s="10" t="s">
        <v>45</v>
      </c>
      <c r="B163" s="91" t="s">
        <v>392</v>
      </c>
      <c r="C163" s="63">
        <f>MATCH(Universal!material_sel,$B$165:$B$186,0)</f>
        <v>3</v>
      </c>
      <c r="F163" s="9"/>
    </row>
    <row r="164" ht="14.25" customHeight="1">
      <c r="B164" s="77" t="s">
        <v>393</v>
      </c>
      <c r="C164" s="245">
        <f t="array" ref="C164">INDEX($C$165:$C$186,Universal!material_index)</f>
        <v>0.00000774</v>
      </c>
      <c r="F164" s="9"/>
    </row>
    <row r="165" ht="14.25" customHeight="1">
      <c r="B165" s="156">
        <f t="shared" ref="B165:B186" si="15">B188</f>
        <v>420</v>
      </c>
      <c r="C165" s="246">
        <v>7.6E-6</v>
      </c>
      <c r="D165" s="10" t="s">
        <v>394</v>
      </c>
      <c r="F165" s="9"/>
    </row>
    <row r="166" ht="14.25" customHeight="1">
      <c r="B166" s="156">
        <f t="shared" si="15"/>
        <v>4140</v>
      </c>
      <c r="C166" s="246">
        <v>7.85E-6</v>
      </c>
      <c r="D166" s="10" t="s">
        <v>394</v>
      </c>
      <c r="F166" s="9"/>
    </row>
    <row r="167" ht="14.25" customHeight="1">
      <c r="B167" s="156" t="str">
        <f t="shared" si="15"/>
        <v>17-4PH</v>
      </c>
      <c r="C167" s="246">
        <v>7.74E-6</v>
      </c>
      <c r="D167" s="10" t="s">
        <v>394</v>
      </c>
      <c r="F167" s="9"/>
    </row>
    <row r="168" ht="14.25" customHeight="1">
      <c r="B168" s="156" t="str">
        <f t="shared" si="15"/>
        <v>DM HH Stainless</v>
      </c>
      <c r="D168" s="10" t="s">
        <v>394</v>
      </c>
      <c r="F168" s="9"/>
    </row>
    <row r="169" ht="14.25" customHeight="1">
      <c r="B169" s="156" t="str">
        <f t="shared" si="15"/>
        <v>304L</v>
      </c>
      <c r="C169" s="246">
        <v>8.03E-6</v>
      </c>
      <c r="D169" s="10" t="s">
        <v>394</v>
      </c>
      <c r="F169" s="9"/>
    </row>
    <row r="170" ht="14.25" customHeight="1">
      <c r="B170" s="156" t="str">
        <f t="shared" si="15"/>
        <v>316L</v>
      </c>
      <c r="C170" s="246">
        <v>8.0E-6</v>
      </c>
      <c r="D170" s="10" t="s">
        <v>394</v>
      </c>
      <c r="F170" s="9"/>
    </row>
    <row r="171" ht="14.25" customHeight="1">
      <c r="B171" s="156" t="str">
        <f t="shared" si="15"/>
        <v>440C</v>
      </c>
      <c r="D171" s="10" t="s">
        <v>394</v>
      </c>
      <c r="F171" s="9"/>
    </row>
    <row r="172" ht="14.25" customHeight="1">
      <c r="B172" s="156" t="str">
        <f t="shared" si="15"/>
        <v>CrMnMoN</v>
      </c>
      <c r="D172" s="10" t="s">
        <v>394</v>
      </c>
      <c r="F172" s="9"/>
    </row>
    <row r="173" ht="14.25" customHeight="1">
      <c r="B173" s="156" t="str">
        <f t="shared" si="15"/>
        <v>Al 6061</v>
      </c>
      <c r="C173" s="246">
        <v>2.7E-6</v>
      </c>
      <c r="D173" s="10" t="s">
        <v>394</v>
      </c>
      <c r="F173" s="9"/>
    </row>
    <row r="174" ht="14.25" customHeight="1">
      <c r="B174" s="156" t="str">
        <f t="shared" si="15"/>
        <v>CoCrMo</v>
      </c>
      <c r="C174" s="246">
        <v>8.3E-6</v>
      </c>
      <c r="D174" s="10" t="s">
        <v>394</v>
      </c>
      <c r="F174" s="9"/>
    </row>
    <row r="175" ht="14.25" customHeight="1">
      <c r="B175" s="156" t="str">
        <f t="shared" si="15"/>
        <v>Cu</v>
      </c>
      <c r="C175" s="246">
        <v>8.96E-6</v>
      </c>
      <c r="D175" s="10" t="s">
        <v>394</v>
      </c>
      <c r="F175" s="9"/>
    </row>
    <row r="176" ht="14.25" customHeight="1">
      <c r="B176" s="156" t="str">
        <f t="shared" si="15"/>
        <v>D2</v>
      </c>
      <c r="C176" s="246">
        <v>7.7E-6</v>
      </c>
      <c r="D176" s="10" t="s">
        <v>394</v>
      </c>
      <c r="F176" s="9"/>
    </row>
    <row r="177" ht="14.25" customHeight="1">
      <c r="B177" s="156" t="str">
        <f t="shared" si="15"/>
        <v>Gold</v>
      </c>
      <c r="C177" s="246">
        <v>1.56E-5</v>
      </c>
      <c r="D177" s="10" t="s">
        <v>394</v>
      </c>
      <c r="F177" s="9"/>
    </row>
    <row r="178" ht="14.25" customHeight="1">
      <c r="B178" s="156" t="str">
        <f t="shared" si="15"/>
        <v>H13</v>
      </c>
      <c r="C178" s="246">
        <v>7.75E-6</v>
      </c>
      <c r="D178" s="10" t="s">
        <v>394</v>
      </c>
      <c r="F178" s="9"/>
    </row>
    <row r="179" ht="14.25" customHeight="1">
      <c r="B179" s="156" t="str">
        <f t="shared" si="15"/>
        <v>IN625</v>
      </c>
      <c r="C179" s="246">
        <v>8.3E-6</v>
      </c>
      <c r="D179" s="10" t="s">
        <v>394</v>
      </c>
      <c r="F179" s="9"/>
    </row>
    <row r="180" ht="14.25" customHeight="1">
      <c r="B180" s="156" t="str">
        <f t="shared" si="15"/>
        <v>IN718</v>
      </c>
      <c r="C180" s="246">
        <v>8.3E-6</v>
      </c>
      <c r="D180" s="10" t="s">
        <v>394</v>
      </c>
      <c r="F180" s="9"/>
    </row>
    <row r="181" ht="14.25" customHeight="1">
      <c r="B181" s="156" t="str">
        <f t="shared" si="15"/>
        <v>M2</v>
      </c>
      <c r="C181" s="246">
        <v>7.75E-6</v>
      </c>
      <c r="D181" s="10" t="s">
        <v>394</v>
      </c>
      <c r="F181" s="9"/>
    </row>
    <row r="182" ht="14.25" customHeight="1">
      <c r="B182" s="156" t="str">
        <f t="shared" si="15"/>
        <v>S7</v>
      </c>
      <c r="C182" s="246">
        <v>7.83E-6</v>
      </c>
      <c r="D182" s="10" t="s">
        <v>394</v>
      </c>
      <c r="F182" s="9"/>
    </row>
    <row r="183" ht="14.25" customHeight="1">
      <c r="B183" s="156" t="str">
        <f t="shared" si="15"/>
        <v>Silver</v>
      </c>
      <c r="C183" s="246">
        <v>1.04E-5</v>
      </c>
      <c r="D183" s="10" t="s">
        <v>394</v>
      </c>
      <c r="F183" s="9"/>
    </row>
    <row r="184" ht="14.25" customHeight="1">
      <c r="B184" s="156" t="str">
        <f t="shared" si="15"/>
        <v>Ti-64</v>
      </c>
      <c r="C184" s="246">
        <v>4.42E-6</v>
      </c>
      <c r="D184" s="10" t="s">
        <v>394</v>
      </c>
      <c r="F184" s="9"/>
      <c r="G184" s="76"/>
    </row>
    <row r="185" ht="14.25" customHeight="1">
      <c r="B185" s="156" t="str">
        <f t="shared" si="15"/>
        <v>WC-12Co</v>
      </c>
      <c r="D185" s="10" t="s">
        <v>394</v>
      </c>
      <c r="F185" s="9"/>
      <c r="G185" s="76"/>
    </row>
    <row r="186" ht="14.25" customHeight="1">
      <c r="B186" s="156" t="str">
        <f t="shared" si="15"/>
        <v>SiC</v>
      </c>
      <c r="C186" s="247">
        <v>3.21E-6</v>
      </c>
      <c r="D186" s="10" t="s">
        <v>394</v>
      </c>
      <c r="F186" s="9"/>
      <c r="G186" s="76"/>
    </row>
    <row r="187" ht="14.25" customHeight="1">
      <c r="B187" s="10"/>
      <c r="C187" s="205"/>
      <c r="D187" s="10" t="s">
        <v>394</v>
      </c>
      <c r="F187" s="9"/>
      <c r="G187" s="76"/>
    </row>
    <row r="188" ht="14.25" customHeight="1">
      <c r="A188" s="10" t="s">
        <v>45</v>
      </c>
      <c r="B188" s="248">
        <f>Inputs!B81</f>
        <v>420</v>
      </c>
      <c r="C188" s="249" t="str">
        <f>VLOOKUP($B188,Inputs!$B:$Q,Universal!printer_index+1,0)</f>
        <v/>
      </c>
      <c r="F188" s="9"/>
      <c r="G188" s="76"/>
    </row>
    <row r="189" ht="14.25" customHeight="1">
      <c r="B189" s="250">
        <f>Inputs!B82</f>
        <v>4140</v>
      </c>
      <c r="C189" s="249" t="str">
        <f>VLOOKUP($B189,Inputs!$B:$Q,Universal!printer_index+1,0)</f>
        <v/>
      </c>
      <c r="D189" s="10" t="s">
        <v>349</v>
      </c>
      <c r="F189" s="9"/>
      <c r="G189" s="76"/>
    </row>
    <row r="190" ht="14.25" customHeight="1">
      <c r="B190" s="250" t="str">
        <f>Inputs!B83</f>
        <v>17-4PH</v>
      </c>
      <c r="C190" s="249">
        <f>VLOOKUP($B190,Inputs!$B:$Q,Universal!printer_index+1,0)</f>
        <v>50</v>
      </c>
      <c r="D190" s="10" t="s">
        <v>349</v>
      </c>
      <c r="F190" s="9"/>
      <c r="G190" s="76"/>
    </row>
    <row r="191" ht="14.25" customHeight="1">
      <c r="B191" s="250" t="str">
        <f>Inputs!B84</f>
        <v>DM HH Stainless</v>
      </c>
      <c r="C191" s="249" t="str">
        <f>VLOOKUP($B191,Inputs!$B:$Q,Universal!printer_index+1,0)</f>
        <v/>
      </c>
      <c r="D191" s="10" t="s">
        <v>349</v>
      </c>
      <c r="F191" s="9"/>
      <c r="G191" s="76"/>
    </row>
    <row r="192" ht="14.25" customHeight="1">
      <c r="B192" s="250" t="str">
        <f>Inputs!B85</f>
        <v>304L</v>
      </c>
      <c r="C192" s="249">
        <f>VLOOKUP($B192,Inputs!$B:$Q,Universal!printer_index+1,0)</f>
        <v>99</v>
      </c>
      <c r="D192" s="10" t="s">
        <v>349</v>
      </c>
      <c r="F192" s="9"/>
      <c r="G192" s="76"/>
    </row>
    <row r="193" ht="14.25" customHeight="1">
      <c r="B193" s="250" t="str">
        <f>Inputs!B86</f>
        <v>316L</v>
      </c>
      <c r="C193" s="249">
        <f>VLOOKUP($B193,Inputs!$B:$Q,Universal!printer_index+1,0)</f>
        <v>50</v>
      </c>
      <c r="D193" s="10" t="s">
        <v>349</v>
      </c>
      <c r="F193" s="9"/>
      <c r="G193" s="76"/>
    </row>
    <row r="194" ht="14.25" customHeight="1">
      <c r="B194" s="250" t="str">
        <f>Inputs!B87</f>
        <v>440C</v>
      </c>
      <c r="C194" s="249" t="str">
        <f>VLOOKUP($B194,Inputs!$B:$Q,Universal!printer_index+1,0)</f>
        <v/>
      </c>
      <c r="D194" s="10" t="s">
        <v>349</v>
      </c>
      <c r="F194" s="9"/>
    </row>
    <row r="195" ht="14.25" customHeight="1">
      <c r="B195" s="250" t="str">
        <f>Inputs!B88</f>
        <v>CrMnMoN</v>
      </c>
      <c r="C195" s="249" t="str">
        <f>VLOOKUP($B195,Inputs!$B:$Q,Universal!printer_index+1,0)</f>
        <v/>
      </c>
      <c r="D195" s="10" t="s">
        <v>349</v>
      </c>
      <c r="F195" s="9"/>
    </row>
    <row r="196" ht="14.25" customHeight="1">
      <c r="B196" s="250" t="str">
        <f>Inputs!B89</f>
        <v>Al 6061</v>
      </c>
      <c r="C196" s="249" t="str">
        <f>VLOOKUP($B196,Inputs!$B:$Q,Universal!printer_index+1,0)</f>
        <v/>
      </c>
      <c r="D196" s="10" t="s">
        <v>349</v>
      </c>
      <c r="F196" s="9"/>
      <c r="G196" s="76"/>
    </row>
    <row r="197" ht="14.25" customHeight="1">
      <c r="B197" s="250" t="str">
        <f>Inputs!B90</f>
        <v>CoCrMo</v>
      </c>
      <c r="C197" s="249">
        <f>VLOOKUP($B197,Inputs!$B:$Q,Universal!printer_index+1,0)</f>
        <v>325</v>
      </c>
      <c r="D197" s="10" t="s">
        <v>349</v>
      </c>
      <c r="F197" s="9"/>
      <c r="G197" s="76"/>
    </row>
    <row r="198" ht="14.25" customHeight="1">
      <c r="B198" s="250" t="str">
        <f>Inputs!B91</f>
        <v>Cu</v>
      </c>
      <c r="C198" s="249" t="str">
        <f>VLOOKUP($B198,Inputs!$B:$Q,Universal!printer_index+1,0)</f>
        <v/>
      </c>
      <c r="D198" s="10" t="s">
        <v>349</v>
      </c>
    </row>
    <row r="199" ht="14.25" customHeight="1">
      <c r="B199" s="250" t="str">
        <f>Inputs!B92</f>
        <v>D2</v>
      </c>
      <c r="C199" s="249" t="str">
        <f>VLOOKUP($B199,Inputs!$B:$Q,Universal!printer_index+1,0)</f>
        <v/>
      </c>
      <c r="D199" s="10" t="s">
        <v>349</v>
      </c>
    </row>
    <row r="200" ht="14.25" customHeight="1">
      <c r="B200" s="250" t="str">
        <f>Inputs!B93</f>
        <v>Gold</v>
      </c>
      <c r="C200" s="249" t="str">
        <f>VLOOKUP($B200,Inputs!$B:$Q,Universal!printer_index+1,0)</f>
        <v/>
      </c>
      <c r="D200" s="10" t="s">
        <v>349</v>
      </c>
    </row>
    <row r="201" ht="14.25" customHeight="1">
      <c r="B201" s="250" t="str">
        <f>Inputs!B94</f>
        <v>H13</v>
      </c>
      <c r="C201" s="249" t="str">
        <f>VLOOKUP($B201,Inputs!$B:$Q,Universal!printer_index+1,0)</f>
        <v/>
      </c>
      <c r="D201" s="10" t="s">
        <v>349</v>
      </c>
    </row>
    <row r="202" ht="14.25" customHeight="1">
      <c r="B202" s="250" t="str">
        <f>Inputs!B95</f>
        <v>IN625</v>
      </c>
      <c r="C202" s="249">
        <f>VLOOKUP($B202,Inputs!$B:$Q,Universal!printer_index+1,0)</f>
        <v>299</v>
      </c>
      <c r="D202" s="10" t="s">
        <v>349</v>
      </c>
    </row>
    <row r="203" ht="14.25" customHeight="1">
      <c r="B203" s="250" t="str">
        <f>Inputs!B96</f>
        <v>IN718</v>
      </c>
      <c r="C203" s="249">
        <f>VLOOKUP($B203,Inputs!$B:$Q,Universal!printer_index+1,0)</f>
        <v>249</v>
      </c>
      <c r="D203" s="10" t="s">
        <v>349</v>
      </c>
    </row>
    <row r="204" ht="14.25" customHeight="1">
      <c r="B204" s="250" t="str">
        <f>Inputs!B97</f>
        <v>M2</v>
      </c>
      <c r="C204" s="249" t="str">
        <f>VLOOKUP($B204,Inputs!$B:$Q,Universal!printer_index+1,0)</f>
        <v/>
      </c>
      <c r="D204" s="10" t="s">
        <v>349</v>
      </c>
    </row>
    <row r="205" ht="14.25" customHeight="1">
      <c r="B205" s="250" t="str">
        <f>Inputs!B98</f>
        <v>S7</v>
      </c>
      <c r="C205" s="249" t="str">
        <f>VLOOKUP($B205,Inputs!$B:$Q,Universal!printer_index+1,0)</f>
        <v/>
      </c>
      <c r="D205" s="10" t="s">
        <v>349</v>
      </c>
    </row>
    <row r="206" ht="14.25" customHeight="1">
      <c r="B206" s="250" t="str">
        <f>Inputs!B99</f>
        <v>Silver</v>
      </c>
      <c r="C206" s="249" t="str">
        <f>VLOOKUP($B206,Inputs!$B:$Q,Universal!printer_index+1,0)</f>
        <v/>
      </c>
      <c r="D206" s="10" t="s">
        <v>349</v>
      </c>
    </row>
    <row r="207" ht="14.25" customHeight="1">
      <c r="B207" s="250" t="str">
        <f>Inputs!B100</f>
        <v>Ti-64</v>
      </c>
      <c r="C207" s="249" t="str">
        <f>VLOOKUP($B207,Inputs!$B:$Q,Universal!printer_index+1,0)</f>
        <v/>
      </c>
      <c r="D207" s="10" t="s">
        <v>349</v>
      </c>
    </row>
    <row r="208" ht="14.25" customHeight="1">
      <c r="B208" s="250" t="str">
        <f>Inputs!B101</f>
        <v>WC-12Co</v>
      </c>
      <c r="C208" s="249" t="str">
        <f>VLOOKUP($B208,Inputs!$B:$Q,Universal!printer_index+1,0)</f>
        <v/>
      </c>
      <c r="D208" s="10" t="s">
        <v>349</v>
      </c>
    </row>
    <row r="209" ht="14.25" customHeight="1">
      <c r="B209" s="251" t="str">
        <f>Inputs!B102</f>
        <v>SiC</v>
      </c>
      <c r="C209" s="249" t="str">
        <f>VLOOKUP($B209,Inputs!$B:$Q,Universal!printer_index+1,0)</f>
        <v/>
      </c>
      <c r="D209" s="10" t="s">
        <v>349</v>
      </c>
    </row>
    <row r="210" ht="14.25" customHeight="1">
      <c r="D210" s="10" t="s">
        <v>349</v>
      </c>
    </row>
    <row r="211" ht="14.25" customHeight="1">
      <c r="A211" s="10" t="s">
        <v>45</v>
      </c>
      <c r="B211" s="91" t="s">
        <v>395</v>
      </c>
      <c r="C211" s="252">
        <f>G9*Universal!total_builds_yr</f>
        <v>246.7849981</v>
      </c>
    </row>
    <row r="212" ht="14.25" customHeight="1">
      <c r="B212" s="77" t="s">
        <v>396</v>
      </c>
      <c r="C212" s="221">
        <f>VLOOKUP("Binder MSRP",Inputs!$B:$Q,Universal!printer_index+1,0)</f>
        <v>300</v>
      </c>
      <c r="D212" s="10" t="s">
        <v>95</v>
      </c>
      <c r="F212" s="9">
        <f>7*18.3*12</f>
        <v>1537.2</v>
      </c>
      <c r="G212" s="10">
        <v>200.0</v>
      </c>
    </row>
    <row r="213" ht="14.25" customHeight="1">
      <c r="B213" s="77" t="s">
        <v>397</v>
      </c>
      <c r="C213" s="221" t="str">
        <f>VLOOKUP("Binder Tier 2 MSRP",Inputs!$B:$Q,Universal!printer_index+1,0)</f>
        <v/>
      </c>
      <c r="D213" s="10" t="s">
        <v>353</v>
      </c>
      <c r="F213" s="9">
        <f>2*F212</f>
        <v>3074.4</v>
      </c>
      <c r="G213" s="10">
        <v>750.0</v>
      </c>
    </row>
    <row r="214" ht="14.25" customHeight="1">
      <c r="B214" s="77" t="s">
        <v>398</v>
      </c>
      <c r="C214" s="221" t="str">
        <f>VLOOKUP("Binder Tier 3 MSRP",Inputs!$B:$Q,Universal!printer_index+1,0)</f>
        <v/>
      </c>
      <c r="D214" s="10" t="s">
        <v>353</v>
      </c>
    </row>
    <row r="215" ht="14.25" customHeight="1">
      <c r="B215" s="136" t="s">
        <v>399</v>
      </c>
      <c r="C215" s="168">
        <f>IF(Universal!printer_index&gt;10,(MIN(Universal!binder_per_yr,G212)*C212+MAX(0,MIN(Universal!binder_per_yr,G213)-G212)*C213+MAX(0,Universal!binder_per_yr-G213)*C214)/Universal!binder_per_yr,(MIN(Universal!binder_per_yr,F212)*C212+MAX(0,MIN(Universal!binder_per_yr,F213)-F212)*C213+MAX(0,Universal!binder_per_yr-F213)*C214)/Universal!binder_per_yr)</f>
        <v>300</v>
      </c>
      <c r="D215" s="10" t="s">
        <v>353</v>
      </c>
    </row>
    <row r="216" ht="14.25" customHeight="1">
      <c r="D216" s="10" t="s">
        <v>353</v>
      </c>
    </row>
    <row r="217" ht="14.25" customHeight="1">
      <c r="A217" s="10" t="s">
        <v>45</v>
      </c>
      <c r="B217" s="91" t="s">
        <v>74</v>
      </c>
      <c r="C217" s="253">
        <f>VLOOKUP($B$217,Inputs!$B:$Q,Universal!printer_index+1,0)/10^3</f>
        <v>0.05</v>
      </c>
    </row>
    <row r="218" ht="14.25" customHeight="1">
      <c r="B218" s="77" t="str">
        <f>IF(C218="--","",IF(C218*10^3=VLOOKUP("Default",Inputs!$B:$Q,Universal!printer_index+1,0),"Default",""))</f>
        <v>Default</v>
      </c>
      <c r="C218" s="254">
        <f>+IF(C217+VLOOKUP("Increment",Inputs!$B:$Q,Universal!printer_index+1,0)/10^3&gt;VLOOKUP("Max layer thickness",Inputs!$B:$Q,Universal!printer_index+1,0)/10^3,,C217+VLOOKUP("Increment",Inputs!$B:$Q,Universal!printer_index+1,0)/10^3)</f>
        <v>0.075</v>
      </c>
      <c r="D218" s="10" t="s">
        <v>55</v>
      </c>
    </row>
    <row r="219" ht="14.25" customHeight="1">
      <c r="B219" s="77" t="str">
        <f>IF(C219="--","",IF(C219*10^3=VLOOKUP("Default",Inputs!$B:$Q,Universal!printer_index+1,0),"Default",""))</f>
        <v/>
      </c>
      <c r="C219" s="254">
        <f>+IF(C218+VLOOKUP("Increment",Inputs!$B:$Q,Universal!printer_index+1,0)/10^3&gt;VLOOKUP("Max layer thickness",Inputs!$B:$Q,Universal!printer_index+1,0)/10^3,,C218+VLOOKUP("Increment",Inputs!$B:$Q,Universal!printer_index+1,0)/10^3)</f>
        <v>0.1</v>
      </c>
      <c r="D219" s="10" t="s">
        <v>55</v>
      </c>
    </row>
    <row r="220" ht="14.25" customHeight="1">
      <c r="B220" s="77" t="str">
        <f>IF(C220="--","",IF(C220*10^3=VLOOKUP("Default",Inputs!$B:$Q,Universal!printer_index+1,0),"Default",""))</f>
        <v/>
      </c>
      <c r="C220" s="254" t="str">
        <f>+IF(C219+VLOOKUP("Increment",Inputs!$B:$Q,Universal!printer_index+1,0)/10^3&gt;VLOOKUP("Max layer thickness",Inputs!$B:$Q,Universal!printer_index+1,0)/10^3,,C219+VLOOKUP("Increment",Inputs!$B:$Q,Universal!printer_index+1,0)/10^3)</f>
        <v/>
      </c>
      <c r="D220" s="10" t="s">
        <v>55</v>
      </c>
    </row>
    <row r="221" ht="14.25" customHeight="1">
      <c r="B221" s="77" t="str">
        <f>IF(C221="--","",IF(C221*10^3=VLOOKUP("Default",Inputs!$B:$Q,Universal!printer_index+1,0),"Default",""))</f>
        <v/>
      </c>
      <c r="C221" s="254">
        <f>+IF(C220+VLOOKUP("Increment",Inputs!$B:$Q,Universal!printer_index+1,0)/10^3&gt;VLOOKUP("Max layer thickness",Inputs!$B:$Q,Universal!printer_index+1,0)/10^3,,C220+VLOOKUP("Increment",Inputs!$B:$Q,Universal!printer_index+1,0)/10^3)</f>
        <v>0.025</v>
      </c>
      <c r="D221" s="10" t="s">
        <v>55</v>
      </c>
    </row>
    <row r="222" ht="14.25" customHeight="1">
      <c r="B222" s="77" t="str">
        <f>IF(C222="--","",IF(C222*10^3=VLOOKUP("Default",Inputs!$B:$Q,Universal!printer_index+1,0),"Default",""))</f>
        <v/>
      </c>
      <c r="C222" s="254">
        <f>+IF(C221+VLOOKUP("Increment",Inputs!$B:$Q,Universal!printer_index+1,0)/10^3&gt;VLOOKUP("Max layer thickness",Inputs!$B:$Q,Universal!printer_index+1,0)/10^3,,C221+VLOOKUP("Increment",Inputs!$B:$Q,Universal!printer_index+1,0)/10^3)</f>
        <v>0.05</v>
      </c>
      <c r="D222" s="10" t="s">
        <v>55</v>
      </c>
    </row>
    <row r="223" ht="14.25" customHeight="1">
      <c r="B223" s="77" t="str">
        <f>IF(C223="--","",IF(C223*10^3=VLOOKUP("Default",Inputs!$B:$Q,Universal!printer_index+1,0),"Default",""))</f>
        <v>Default</v>
      </c>
      <c r="C223" s="254">
        <f>+IF(C222+VLOOKUP("Increment",Inputs!$B:$Q,Universal!printer_index+1,0)/10^3&gt;VLOOKUP("Max layer thickness",Inputs!$B:$Q,Universal!printer_index+1,0)/10^3,,C222+VLOOKUP("Increment",Inputs!$B:$Q,Universal!printer_index+1,0)/10^3)</f>
        <v>0.075</v>
      </c>
      <c r="D223" s="10" t="s">
        <v>55</v>
      </c>
    </row>
    <row r="224" ht="14.25" customHeight="1">
      <c r="B224" s="77" t="str">
        <f>IF(C224="--","",IF(C224*10^3=VLOOKUP("Default",Inputs!$B:$Q,Universal!printer_index+1,0),"Default",""))</f>
        <v/>
      </c>
      <c r="C224" s="254">
        <f>+IF(C223+VLOOKUP("Increment",Inputs!$B:$Q,Universal!printer_index+1,0)/10^3&gt;VLOOKUP("Max layer thickness",Inputs!$B:$Q,Universal!printer_index+1,0)/10^3,,C223+VLOOKUP("Increment",Inputs!$B:$Q,Universal!printer_index+1,0)/10^3)</f>
        <v>0.1</v>
      </c>
      <c r="D224" s="10" t="s">
        <v>55</v>
      </c>
    </row>
    <row r="225" ht="14.25" customHeight="1">
      <c r="B225" s="77" t="str">
        <f>IF(C225="--","",IF(C225*10^3=VLOOKUP("Default",Inputs!$B:$Q,Universal!printer_index+1,0),"Default",""))</f>
        <v/>
      </c>
      <c r="C225" s="254" t="str">
        <f>+IF(C224+VLOOKUP("Increment",Inputs!$B:$Q,Universal!printer_index+1,0)/10^3&gt;VLOOKUP("Max layer thickness",Inputs!$B:$Q,Universal!printer_index+1,0)/10^3,,C224+VLOOKUP("Increment",Inputs!$B:$Q,Universal!printer_index+1,0)/10^3)</f>
        <v/>
      </c>
      <c r="D225" s="10" t="s">
        <v>55</v>
      </c>
    </row>
    <row r="226" ht="14.25" customHeight="1">
      <c r="B226" s="77" t="str">
        <f>IF(C226="--","",IF(C226*10^3=VLOOKUP("Default",Inputs!$B:$Q,Universal!printer_index+1,0),"Default",""))</f>
        <v/>
      </c>
      <c r="C226" s="254">
        <f>+IF(C225+VLOOKUP("Increment",Inputs!$B:$Q,Universal!printer_index+1,0)/10^3&gt;VLOOKUP("Max layer thickness",Inputs!$B:$Q,Universal!printer_index+1,0)/10^3,,C225+VLOOKUP("Increment",Inputs!$B:$Q,Universal!printer_index+1,0)/10^3)</f>
        <v>0.025</v>
      </c>
      <c r="D226" s="10" t="s">
        <v>55</v>
      </c>
    </row>
    <row r="227" ht="14.25" customHeight="1">
      <c r="B227" s="77" t="str">
        <f>IF(C227="--","",IF(C227*10^3=VLOOKUP("Default",Inputs!$B:$Q,Universal!printer_index+1,0),"Default",""))</f>
        <v/>
      </c>
      <c r="C227" s="254">
        <f>+IF(C226+VLOOKUP("Increment",Inputs!$B:$Q,Universal!printer_index+1,0)/10^3&gt;VLOOKUP("Max layer thickness",Inputs!$B:$Q,Universal!printer_index+1,0)/10^3,,C226+VLOOKUP("Increment",Inputs!$B:$Q,Universal!printer_index+1,0)/10^3)</f>
        <v>0.05</v>
      </c>
      <c r="D227" s="10" t="s">
        <v>55</v>
      </c>
    </row>
    <row r="228" ht="14.25" customHeight="1">
      <c r="B228" s="77" t="str">
        <f>IF(C228="--","",IF(C228*10^3=VLOOKUP("Default",Inputs!$B:$Q,Universal!printer_index+1,0),"Default",""))</f>
        <v>Default</v>
      </c>
      <c r="C228" s="254">
        <f>+IF(C227+VLOOKUP("Increment",Inputs!$B:$Q,Universal!printer_index+1,0)/10^3&gt;VLOOKUP("Max layer thickness",Inputs!$B:$Q,Universal!printer_index+1,0)/10^3,,C227+VLOOKUP("Increment",Inputs!$B:$Q,Universal!printer_index+1,0)/10^3)</f>
        <v>0.075</v>
      </c>
      <c r="D228" s="10" t="s">
        <v>55</v>
      </c>
    </row>
    <row r="229" ht="14.25" customHeight="1">
      <c r="B229" s="77" t="str">
        <f>IF(C229="--","",IF(C229*10^3=VLOOKUP("Default",Inputs!$B:$Q,Universal!printer_index+1,0),"Default",""))</f>
        <v/>
      </c>
      <c r="C229" s="254">
        <f>+IF(C228+VLOOKUP("Increment",Inputs!$B:$Q,Universal!printer_index+1,0)/10^3&gt;VLOOKUP("Max layer thickness",Inputs!$B:$Q,Universal!printer_index+1,0)/10^3,,C228+VLOOKUP("Increment",Inputs!$B:$Q,Universal!printer_index+1,0)/10^3)</f>
        <v>0.1</v>
      </c>
      <c r="D229" s="10" t="s">
        <v>55</v>
      </c>
    </row>
    <row r="230" ht="14.25" customHeight="1">
      <c r="B230" s="77" t="str">
        <f>IF(C230="--","",IF(C230*10^3=VLOOKUP("Default",Inputs!$B:$Q,Universal!printer_index+1,0),"Default",""))</f>
        <v/>
      </c>
      <c r="C230" s="254" t="str">
        <f>+IF(C229+VLOOKUP("Increment",Inputs!$B:$Q,Universal!printer_index+1,0)/10^3&gt;VLOOKUP("Max layer thickness",Inputs!$B:$Q,Universal!printer_index+1,0)/10^3,,C229+VLOOKUP("Increment",Inputs!$B:$Q,Universal!printer_index+1,0)/10^3)</f>
        <v/>
      </c>
      <c r="D230" s="10" t="s">
        <v>55</v>
      </c>
    </row>
    <row r="231" ht="14.25" customHeight="1">
      <c r="B231" s="77" t="str">
        <f>IF(C231="--","",IF(C231*10^3=VLOOKUP("Default",Inputs!$B:$Q,Universal!printer_index+1,0),"Default",""))</f>
        <v/>
      </c>
      <c r="C231" s="254">
        <f>+IF(C230+VLOOKUP("Increment",Inputs!$B:$Q,Universal!printer_index+1,0)/10^3&gt;VLOOKUP("Max layer thickness",Inputs!$B:$Q,Universal!printer_index+1,0)/10^3,,C230+VLOOKUP("Increment",Inputs!$B:$Q,Universal!printer_index+1,0)/10^3)</f>
        <v>0.025</v>
      </c>
      <c r="D231" s="10" t="s">
        <v>55</v>
      </c>
    </row>
    <row r="232" ht="14.25" customHeight="1">
      <c r="B232" s="77" t="str">
        <f>IF(C232="--","",IF(C232*10^3=VLOOKUP("Default",Inputs!$B:$Q,Universal!printer_index+1,0),"Default",""))</f>
        <v/>
      </c>
      <c r="C232" s="254">
        <f>+IF(C231+VLOOKUP("Increment",Inputs!$B:$Q,Universal!printer_index+1,0)/10^3&gt;VLOOKUP("Max layer thickness",Inputs!$B:$Q,Universal!printer_index+1,0)/10^3,,C231+VLOOKUP("Increment",Inputs!$B:$Q,Universal!printer_index+1,0)/10^3)</f>
        <v>0.05</v>
      </c>
      <c r="D232" s="10" t="s">
        <v>55</v>
      </c>
    </row>
    <row r="233" ht="14.25" customHeight="1">
      <c r="B233" s="77" t="str">
        <f>IF(C233="--","",IF(C233*10^3=VLOOKUP("Default",Inputs!$B:$Q,Universal!printer_index+1,0),"Default",""))</f>
        <v>Default</v>
      </c>
      <c r="C233" s="254">
        <f>+IF(C232+VLOOKUP("Increment",Inputs!$B:$Q,Universal!printer_index+1,0)/10^3&gt;VLOOKUP("Max layer thickness",Inputs!$B:$Q,Universal!printer_index+1,0)/10^3,,C232+VLOOKUP("Increment",Inputs!$B:$Q,Universal!printer_index+1,0)/10^3)</f>
        <v>0.075</v>
      </c>
      <c r="D233" s="10" t="s">
        <v>55</v>
      </c>
    </row>
    <row r="234" ht="14.25" customHeight="1">
      <c r="B234" s="77" t="str">
        <f>IF(C234="--","",IF(C234*10^3=VLOOKUP("Default",Inputs!$B:$Q,Universal!printer_index+1,0),"Default",""))</f>
        <v/>
      </c>
      <c r="C234" s="254">
        <f>+IF(C233+VLOOKUP("Increment",Inputs!$B:$Q,Universal!printer_index+1,0)/10^3&gt;VLOOKUP("Max layer thickness",Inputs!$B:$Q,Universal!printer_index+1,0)/10^3,,C233+VLOOKUP("Increment",Inputs!$B:$Q,Universal!printer_index+1,0)/10^3)</f>
        <v>0.1</v>
      </c>
      <c r="D234" s="10" t="s">
        <v>55</v>
      </c>
    </row>
    <row r="235" ht="14.25" customHeight="1">
      <c r="B235" s="77" t="str">
        <f>IF(C235="--","",IF(C235*10^3=VLOOKUP("Default",Inputs!$B:$Q,Universal!printer_index+1,0),"Default",""))</f>
        <v/>
      </c>
      <c r="C235" s="254" t="str">
        <f>+IF(C234+VLOOKUP("Increment",Inputs!$B:$Q,Universal!printer_index+1,0)/10^3&gt;VLOOKUP("Max layer thickness",Inputs!$B:$Q,Universal!printer_index+1,0)/10^3,,C234+VLOOKUP("Increment",Inputs!$B:$Q,Universal!printer_index+1,0)/10^3)</f>
        <v/>
      </c>
      <c r="D235" s="10" t="s">
        <v>55</v>
      </c>
    </row>
    <row r="236" ht="14.25" customHeight="1">
      <c r="B236" s="77" t="str">
        <f>IF(C236="--","",IF(C236*10^3=VLOOKUP("Default",Inputs!$B:$Q,Universal!printer_index+1,0),"Default",""))</f>
        <v/>
      </c>
      <c r="C236" s="254">
        <f>+IF(C235+VLOOKUP("Increment",Inputs!$B:$Q,Universal!printer_index+1,0)/10^3&gt;VLOOKUP("Max layer thickness",Inputs!$B:$Q,Universal!printer_index+1,0)/10^3,,C235+VLOOKUP("Increment",Inputs!$B:$Q,Universal!printer_index+1,0)/10^3)</f>
        <v>0.025</v>
      </c>
      <c r="D236" s="10" t="s">
        <v>55</v>
      </c>
    </row>
    <row r="237" ht="14.25" customHeight="1">
      <c r="B237" s="77" t="str">
        <f>IF(C237="--","",IF(C237*10^3=VLOOKUP("Default",Inputs!$B:$Q,Universal!printer_index+1,0),"Default",""))</f>
        <v/>
      </c>
      <c r="C237" s="254">
        <f>+IF(C236+VLOOKUP("Increment",Inputs!$B:$Q,Universal!printer_index+1,0)/10^3&gt;VLOOKUP("Max layer thickness",Inputs!$B:$Q,Universal!printer_index+1,0)/10^3,,C236+VLOOKUP("Increment",Inputs!$B:$Q,Universal!printer_index+1,0)/10^3)</f>
        <v>0.05</v>
      </c>
      <c r="D237" s="10" t="s">
        <v>55</v>
      </c>
    </row>
    <row r="238" ht="14.25" customHeight="1">
      <c r="B238" s="77" t="str">
        <f>IF(C238="--","",IF(C238*10^3=VLOOKUP("Default",Inputs!$B:$Q,Universal!printer_index+1,0),"Default",""))</f>
        <v>Default</v>
      </c>
      <c r="C238" s="254">
        <f>+IF(C237+VLOOKUP("Increment",Inputs!$B:$Q,Universal!printer_index+1,0)/10^3&gt;VLOOKUP("Max layer thickness",Inputs!$B:$Q,Universal!printer_index+1,0)/10^3,,C237+VLOOKUP("Increment",Inputs!$B:$Q,Universal!printer_index+1,0)/10^3)</f>
        <v>0.075</v>
      </c>
      <c r="D238" s="10" t="s">
        <v>55</v>
      </c>
    </row>
    <row r="239" ht="14.25" customHeight="1">
      <c r="B239" s="77" t="str">
        <f>IF(C239="--","",IF(C239*10^3=VLOOKUP("Default",Inputs!$B:$Q,Universal!printer_index+1,0),"Default",""))</f>
        <v/>
      </c>
      <c r="C239" s="254">
        <f>+IF(C238+VLOOKUP("Increment",Inputs!$B:$Q,Universal!printer_index+1,0)/10^3&gt;VLOOKUP("Max layer thickness",Inputs!$B:$Q,Universal!printer_index+1,0)/10^3,,C238+VLOOKUP("Increment",Inputs!$B:$Q,Universal!printer_index+1,0)/10^3)</f>
        <v>0.1</v>
      </c>
      <c r="D239" s="10" t="s">
        <v>55</v>
      </c>
    </row>
    <row r="240" ht="14.25" customHeight="1">
      <c r="B240" s="77" t="str">
        <f>IF(C240="--","",IF(C240*10^3=VLOOKUP("Default",Inputs!$B:$Q,Universal!printer_index+1,0),"Default",""))</f>
        <v/>
      </c>
      <c r="C240" s="254" t="str">
        <f>+IF(C239+VLOOKUP("Increment",Inputs!$B:$Q,Universal!printer_index+1,0)/10^3&gt;VLOOKUP("Max layer thickness",Inputs!$B:$Q,Universal!printer_index+1,0)/10^3,,C239+VLOOKUP("Increment",Inputs!$B:$Q,Universal!printer_index+1,0)/10^3)</f>
        <v/>
      </c>
      <c r="D240" s="10" t="s">
        <v>55</v>
      </c>
    </row>
    <row r="241" ht="14.25" customHeight="1">
      <c r="B241" s="77" t="str">
        <f>IF(C241="--","",IF(C241*10^3=VLOOKUP("Default",Inputs!$B:$Q,Universal!printer_index+1,0),"Default",""))</f>
        <v/>
      </c>
      <c r="C241" s="254">
        <f>+IF(C240+VLOOKUP("Increment",Inputs!$B:$Q,Universal!printer_index+1,0)/10^3&gt;VLOOKUP("Max layer thickness",Inputs!$B:$Q,Universal!printer_index+1,0)/10^3,,C240+VLOOKUP("Increment",Inputs!$B:$Q,Universal!printer_index+1,0)/10^3)</f>
        <v>0.025</v>
      </c>
      <c r="D241" s="10" t="s">
        <v>55</v>
      </c>
    </row>
    <row r="242" ht="14.25" customHeight="1">
      <c r="B242" s="77" t="str">
        <f>IF(C242="--","",IF(C242*10^3=VLOOKUP("Default",Inputs!$B:$Q,Universal!printer_index+1,0),"Default",""))</f>
        <v/>
      </c>
      <c r="C242" s="254">
        <f>+IF(C241+VLOOKUP("Increment",Inputs!$B:$Q,Universal!printer_index+1,0)/10^3&gt;VLOOKUP("Max layer thickness",Inputs!$B:$Q,Universal!printer_index+1,0)/10^3,,C241+VLOOKUP("Increment",Inputs!$B:$Q,Universal!printer_index+1,0)/10^3)</f>
        <v>0.05</v>
      </c>
      <c r="D242" s="10" t="s">
        <v>55</v>
      </c>
    </row>
    <row r="243" ht="14.25" customHeight="1">
      <c r="B243" s="77" t="str">
        <f>IF(C243="--","",IF(C243*10^3=VLOOKUP("Default",Inputs!$B:$Q,Universal!printer_index+1,0),"Default",""))</f>
        <v>Default</v>
      </c>
      <c r="C243" s="254">
        <f>+IF(C242+VLOOKUP("Increment",Inputs!$B:$Q,Universal!printer_index+1,0)/10^3&gt;VLOOKUP("Max layer thickness",Inputs!$B:$Q,Universal!printer_index+1,0)/10^3,,C242+VLOOKUP("Increment",Inputs!$B:$Q,Universal!printer_index+1,0)/10^3)</f>
        <v>0.075</v>
      </c>
      <c r="D243" s="10" t="s">
        <v>55</v>
      </c>
    </row>
    <row r="244" ht="14.25" customHeight="1">
      <c r="B244" s="77" t="str">
        <f>IF(C244="--","",IF(C244*10^3=VLOOKUP("Default",Inputs!$B:$Q,Universal!printer_index+1,0),"Default",""))</f>
        <v/>
      </c>
      <c r="C244" s="254">
        <f>+IF(C243+VLOOKUP("Increment",Inputs!$B:$Q,Universal!printer_index+1,0)/10^3&gt;VLOOKUP("Max layer thickness",Inputs!$B:$Q,Universal!printer_index+1,0)/10^3,,C243+VLOOKUP("Increment",Inputs!$B:$Q,Universal!printer_index+1,0)/10^3)</f>
        <v>0.1</v>
      </c>
      <c r="D244" s="10" t="s">
        <v>55</v>
      </c>
    </row>
    <row r="245" ht="14.25" customHeight="1">
      <c r="B245" s="77" t="str">
        <f>IF(C245="--","",IF(C245*10^3=VLOOKUP("Default",Inputs!$B:$Q,Universal!printer_index+1,0),"Default",""))</f>
        <v/>
      </c>
      <c r="C245" s="254" t="str">
        <f>+IF(C244+VLOOKUP("Increment",Inputs!$B:$Q,Universal!printer_index+1,0)/10^3&gt;VLOOKUP("Max layer thickness",Inputs!$B:$Q,Universal!printer_index+1,0)/10^3,,C244+VLOOKUP("Increment",Inputs!$B:$Q,Universal!printer_index+1,0)/10^3)</f>
        <v/>
      </c>
      <c r="D245" s="10" t="s">
        <v>55</v>
      </c>
    </row>
    <row r="246" ht="14.25" customHeight="1">
      <c r="B246" s="77" t="str">
        <f>IF(C246="--","",IF(C246*10^3=VLOOKUP("Default",Inputs!$B:$Q,Universal!printer_index+1,0),"Default",""))</f>
        <v/>
      </c>
      <c r="C246" s="254">
        <f>+IF(C245+VLOOKUP("Increment",Inputs!$B:$Q,Universal!printer_index+1,0)/10^3&gt;VLOOKUP("Max layer thickness",Inputs!$B:$Q,Universal!printer_index+1,0)/10^3,,C245+VLOOKUP("Increment",Inputs!$B:$Q,Universal!printer_index+1,0)/10^3)</f>
        <v>0.025</v>
      </c>
      <c r="D246" s="10" t="s">
        <v>55</v>
      </c>
    </row>
    <row r="247" ht="14.25" customHeight="1">
      <c r="B247" s="77" t="str">
        <f>IF(C247="--","",IF(C247*10^3=VLOOKUP("Default",Inputs!$B:$Q,Universal!printer_index+1,0),"Default",""))</f>
        <v/>
      </c>
      <c r="C247" s="254">
        <f>+IF(C246+VLOOKUP("Increment",Inputs!$B:$Q,Universal!printer_index+1,0)/10^3&gt;VLOOKUP("Max layer thickness",Inputs!$B:$Q,Universal!printer_index+1,0)/10^3,,C246+VLOOKUP("Increment",Inputs!$B:$Q,Universal!printer_index+1,0)/10^3)</f>
        <v>0.05</v>
      </c>
      <c r="D247" s="10" t="s">
        <v>55</v>
      </c>
    </row>
    <row r="248" ht="14.25" customHeight="1">
      <c r="B248" s="77" t="str">
        <f>IF(C248="--","",IF(C248*10^3=VLOOKUP("Default",Inputs!$B:$Q,Universal!printer_index+1,0),"Default",""))</f>
        <v>Default</v>
      </c>
      <c r="C248" s="254">
        <f>+IF(C247+VLOOKUP("Increment",Inputs!$B:$Q,Universal!printer_index+1,0)/10^3&gt;VLOOKUP("Max layer thickness",Inputs!$B:$Q,Universal!printer_index+1,0)/10^3,,C247+VLOOKUP("Increment",Inputs!$B:$Q,Universal!printer_index+1,0)/10^3)</f>
        <v>0.075</v>
      </c>
      <c r="D248" s="10" t="s">
        <v>55</v>
      </c>
    </row>
    <row r="249" ht="14.25" customHeight="1">
      <c r="B249" s="77" t="str">
        <f>IF(C249="--","",IF(C249*10^3=VLOOKUP("Default",Inputs!$B:$Q,Universal!printer_index+1,0),"Default",""))</f>
        <v/>
      </c>
      <c r="C249" s="254">
        <f>+IF(C248+VLOOKUP("Increment",Inputs!$B:$Q,Universal!printer_index+1,0)/10^3&gt;VLOOKUP("Max layer thickness",Inputs!$B:$Q,Universal!printer_index+1,0)/10^3,,C248+VLOOKUP("Increment",Inputs!$B:$Q,Universal!printer_index+1,0)/10^3)</f>
        <v>0.1</v>
      </c>
      <c r="D249" s="10" t="s">
        <v>55</v>
      </c>
    </row>
    <row r="250" ht="14.25" customHeight="1">
      <c r="B250" s="77" t="str">
        <f>IF(C250="--","",IF(C250*10^3=VLOOKUP("Default",Inputs!$B:$Q,Universal!printer_index+1,0),"Default",""))</f>
        <v/>
      </c>
      <c r="C250" s="254" t="str">
        <f>+IF(C249+VLOOKUP("Increment",Inputs!$B:$Q,Universal!printer_index+1,0)/10^3&gt;VLOOKUP("Max layer thickness",Inputs!$B:$Q,Universal!printer_index+1,0)/10^3,,C249+VLOOKUP("Increment",Inputs!$B:$Q,Universal!printer_index+1,0)/10^3)</f>
        <v/>
      </c>
      <c r="D250" s="10" t="s">
        <v>55</v>
      </c>
    </row>
    <row r="251" ht="14.25" customHeight="1">
      <c r="B251" s="77" t="str">
        <f>IF(C251="--","",IF(C251*10^3=VLOOKUP("Default",Inputs!$B:$Q,Universal!printer_index+1,0),"Default",""))</f>
        <v/>
      </c>
      <c r="C251" s="254">
        <f>+IF(C250+VLOOKUP("Increment",Inputs!$B:$Q,Universal!printer_index+1,0)/10^3&gt;VLOOKUP("Max layer thickness",Inputs!$B:$Q,Universal!printer_index+1,0)/10^3,,C250+VLOOKUP("Increment",Inputs!$B:$Q,Universal!printer_index+1,0)/10^3)</f>
        <v>0.025</v>
      </c>
      <c r="D251" s="10" t="s">
        <v>55</v>
      </c>
    </row>
    <row r="252" ht="14.25" customHeight="1">
      <c r="C252" s="254">
        <f>+IF(C251+VLOOKUP("Increment",Inputs!$B:$Q,Universal!printer_index+1,0)/10^3&gt;VLOOKUP("Max layer thickness",Inputs!$B:$Q,Universal!printer_index+1,0)/10^3,,C251+VLOOKUP("Increment",Inputs!$B:$Q,Universal!printer_index+1,0)/10^3)</f>
        <v>0.05</v>
      </c>
      <c r="D252" s="10" t="s">
        <v>55</v>
      </c>
    </row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1">
    <mergeCell ref="F2:G2"/>
  </mergeCells>
  <conditionalFormatting sqref="B16:C16">
    <cfRule type="expression" dxfId="1" priority="1">
      <formula>$C$15="No"</formula>
    </cfRule>
  </conditionalFormatting>
  <conditionalFormatting sqref="B19:C21">
    <cfRule type="expression" dxfId="1" priority="2">
      <formula>$C$22="Yes"</formula>
    </cfRule>
  </conditionalFormatting>
  <conditionalFormatting sqref="B23:C25">
    <cfRule type="expression" dxfId="1" priority="3">
      <formula>$C$22="No"</formula>
    </cfRule>
  </conditionalFormatting>
  <conditionalFormatting sqref="B42:C42">
    <cfRule type="expression" dxfId="1" priority="4">
      <formula>AND($C$18="Yes",$C$16="Shop")</formula>
    </cfRule>
  </conditionalFormatting>
  <conditionalFormatting sqref="C47 C49:C52 G20:G27 G35:G39 G47:G51 K34:K38">
    <cfRule type="expression" dxfId="0" priority="5">
      <formula>$C$53="EMEA"</formula>
    </cfRule>
  </conditionalFormatting>
  <conditionalFormatting sqref="J5:K8 J9 J10:K10 J11 J12:K12 J13 J14:K16 J17:J18 J19:K19 J21:K21 J22">
    <cfRule type="expression" dxfId="1" priority="6">
      <formula>$C$16="Shop"</formula>
    </cfRule>
  </conditionalFormatting>
  <conditionalFormatting sqref="K15">
    <cfRule type="cellIs" dxfId="2" priority="7" operator="greaterThan">
      <formula>1</formula>
    </cfRule>
  </conditionalFormatting>
  <conditionalFormatting sqref="K17:K18">
    <cfRule type="expression" dxfId="3" priority="8">
      <formula>$C$16="Shop"</formula>
    </cfRule>
  </conditionalFormatting>
  <dataValidations>
    <dataValidation type="list" allowBlank="1" showInputMessage="1" showErrorMessage="1" prompt="Select a layer thickness from the dropdown menu (0.100 mm or 100 micron as default)." sqref="C26">
      <formula1>layer_thickness_table</formula1>
    </dataValidation>
    <dataValidation type="list" allowBlank="1" showErrorMessage="1" sqref="C45">
      <formula1>INDIRECT(Universal!printer_sel)</formula1>
    </dataValidation>
    <dataValidation type="list" allowBlank="1" showErrorMessage="1" sqref="C13">
      <formula1>Inputs!$C$4:$Q$4</formula1>
    </dataValidation>
    <dataValidation type="list" allowBlank="1" showInputMessage="1" showErrorMessage="1" prompt="If nesting density (cell G16) is &lt; 10%, attempt nesting using Fabricate MFG or Magics and flip this cell to &quot;Yes&quot;. Otherwise, can use grid nesting and leave this cell as &quot;No&quot;." sqref="C22">
      <formula1>"No,Yes"</formula1>
    </dataValidation>
    <dataValidation type="list" allowBlank="1" sqref="C14">
      <formula1>binder_select</formula1>
    </dataValidation>
    <dataValidation type="list" allowBlank="1" showInputMessage="1" showErrorMessage="1" prompt="Select a furnace from the dropdown menu (DM furnace for Shop or 2 ft3 MIM furnace)." sqref="C16">
      <formula1>Inputs!$C$178:$Q$178</formula1>
    </dataValidation>
    <dataValidation type="list" allowBlank="1" showInputMessage="1" showErrorMessage="1" prompt="If prospect only wants to evaluate process costs up to sintering, choose no. Otherwise choose yes." sqref="C15">
      <formula1>"Yes,No"</formula1>
    </dataValidation>
    <dataValidation type="list" allowBlank="1" showInputMessage="1" showErrorMessage="1" prompt="Choose whether to limit to furnace qty 1 or allow multiple to support 100% printer capacity." sqref="C18">
      <formula1>"No,Yes"</formula1>
    </dataValidation>
    <dataValidation type="decimal" allowBlank="1" showInputMessage="1" showErrorMessage="1" prompt="Volume Error - The volume you entered exceeds the total volume of the dimensions entered. Please verify the correct part volume." sqref="C8">
      <formula1>0.0</formula1>
      <formula2>C5*C6*C7</formula2>
    </dataValidation>
    <dataValidation type="list" allowBlank="1" showInputMessage="1" showErrorMessage="1" prompt="Choose a region (NAM, EMEA, APAC) to adjust currency in the output cells." sqref="C53">
      <formula1>"APAC,NAM,EMEA"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3" max="26" width="8.71"/>
  </cols>
  <sheetData>
    <row r="1" ht="14.25" customHeight="1">
      <c r="B1" s="255" t="s">
        <v>400</v>
      </c>
      <c r="C1" s="256" t="s">
        <v>401</v>
      </c>
      <c r="D1" s="256" t="s">
        <v>402</v>
      </c>
      <c r="E1" s="256" t="s">
        <v>403</v>
      </c>
    </row>
    <row r="2" ht="14.25" customHeight="1">
      <c r="A2" s="10" t="s">
        <v>137</v>
      </c>
      <c r="B2" s="257">
        <v>0.065</v>
      </c>
      <c r="C2" s="258">
        <v>1.16</v>
      </c>
      <c r="D2" s="258">
        <v>1.165</v>
      </c>
      <c r="E2" s="258">
        <v>1.18</v>
      </c>
    </row>
    <row r="3" ht="14.25" customHeight="1">
      <c r="A3" s="10" t="s">
        <v>140</v>
      </c>
      <c r="B3" s="257">
        <v>0.065</v>
      </c>
      <c r="C3" s="258">
        <v>1.157</v>
      </c>
      <c r="D3" s="258">
        <v>1.153</v>
      </c>
      <c r="E3" s="258">
        <v>1.174</v>
      </c>
    </row>
    <row r="4" ht="14.25" customHeight="1">
      <c r="A4" s="9">
        <v>420.0</v>
      </c>
      <c r="B4" s="257">
        <v>0.05</v>
      </c>
      <c r="C4" s="258">
        <v>1.177</v>
      </c>
      <c r="D4" s="258">
        <v>1.18</v>
      </c>
      <c r="E4" s="258">
        <v>1.192</v>
      </c>
    </row>
    <row r="5" ht="14.25" customHeight="1">
      <c r="A5" s="9" t="s">
        <v>141</v>
      </c>
      <c r="B5" s="259">
        <v>0.05</v>
      </c>
      <c r="C5" s="260">
        <v>1.177</v>
      </c>
      <c r="D5" s="260">
        <v>1.18</v>
      </c>
      <c r="E5" s="260">
        <v>1.192</v>
      </c>
    </row>
    <row r="6" ht="14.25" customHeight="1">
      <c r="A6" s="9" t="s">
        <v>138</v>
      </c>
      <c r="B6" s="259">
        <v>0.065</v>
      </c>
      <c r="C6" s="260">
        <v>1.157</v>
      </c>
      <c r="D6" s="260">
        <v>1.153</v>
      </c>
      <c r="E6" s="260">
        <v>1.174</v>
      </c>
    </row>
    <row r="7" ht="14.25" customHeight="1">
      <c r="A7" s="9" t="s">
        <v>150</v>
      </c>
      <c r="B7" s="257">
        <v>0.05</v>
      </c>
      <c r="C7" s="258">
        <v>1.17</v>
      </c>
      <c r="D7" s="258">
        <v>1.173</v>
      </c>
      <c r="E7" s="258">
        <v>1.196</v>
      </c>
    </row>
    <row r="8" ht="14.25" customHeight="1">
      <c r="A8" s="10" t="s">
        <v>151</v>
      </c>
      <c r="B8" s="257">
        <v>0.05</v>
      </c>
      <c r="C8" s="261">
        <v>1.17</v>
      </c>
      <c r="D8" s="261">
        <v>1.173</v>
      </c>
      <c r="E8" s="261">
        <v>1.196</v>
      </c>
    </row>
    <row r="9" ht="14.25" customHeight="1">
      <c r="A9" s="9" t="s">
        <v>147</v>
      </c>
      <c r="B9" s="257">
        <v>0.065</v>
      </c>
      <c r="C9" s="258">
        <v>1.157</v>
      </c>
      <c r="D9" s="258">
        <v>1.159</v>
      </c>
      <c r="E9" s="258">
        <v>1.203</v>
      </c>
    </row>
    <row r="10" ht="14.25" customHeight="1">
      <c r="A10" s="10" t="s">
        <v>149</v>
      </c>
      <c r="B10" s="257">
        <v>0.05</v>
      </c>
      <c r="C10" s="261">
        <v>1.157</v>
      </c>
      <c r="D10" s="261">
        <v>1.159</v>
      </c>
      <c r="E10" s="261">
        <v>1.203</v>
      </c>
    </row>
    <row r="11" ht="14.25" customHeight="1">
      <c r="A11" s="9">
        <v>4140.0</v>
      </c>
      <c r="B11" s="257">
        <v>0.05</v>
      </c>
      <c r="C11" s="258">
        <v>1.157</v>
      </c>
      <c r="D11" s="258">
        <v>1.157</v>
      </c>
      <c r="E11" s="258">
        <v>1.19</v>
      </c>
    </row>
    <row r="12" ht="14.25" customHeight="1">
      <c r="A12" s="10" t="s">
        <v>146</v>
      </c>
      <c r="B12" s="257">
        <v>0.05</v>
      </c>
      <c r="C12" s="258">
        <v>1.172</v>
      </c>
      <c r="D12" s="258">
        <v>1.181</v>
      </c>
      <c r="E12" s="258">
        <v>1.186</v>
      </c>
    </row>
    <row r="13" ht="14.25" customHeight="1">
      <c r="A13" s="10" t="s">
        <v>154</v>
      </c>
      <c r="B13" s="257">
        <v>0.04</v>
      </c>
      <c r="C13" s="258">
        <v>1.1424</v>
      </c>
      <c r="D13" s="258">
        <v>1.1433</v>
      </c>
      <c r="E13" s="258">
        <v>1.15</v>
      </c>
    </row>
    <row r="14" ht="14.25" customHeight="1">
      <c r="A14" s="10" t="s">
        <v>148</v>
      </c>
      <c r="B14" s="257">
        <v>0.04</v>
      </c>
      <c r="C14" s="261">
        <v>1.1424</v>
      </c>
      <c r="D14" s="261">
        <v>1.1433</v>
      </c>
      <c r="E14" s="261">
        <v>1.15</v>
      </c>
    </row>
    <row r="15" ht="14.25" customHeight="1">
      <c r="A15" s="10" t="s">
        <v>143</v>
      </c>
      <c r="B15" s="257">
        <v>0.1</v>
      </c>
      <c r="C15" s="258">
        <v>1.13</v>
      </c>
      <c r="D15" s="258">
        <v>1.13</v>
      </c>
      <c r="E15" s="258">
        <v>1.15</v>
      </c>
    </row>
    <row r="16" ht="14.25" customHeight="1">
      <c r="A16" s="10" t="s">
        <v>155</v>
      </c>
      <c r="B16" s="257">
        <v>0.065</v>
      </c>
      <c r="C16" s="261">
        <v>1.13</v>
      </c>
      <c r="D16" s="261">
        <v>1.13</v>
      </c>
      <c r="E16" s="261">
        <v>1.15</v>
      </c>
    </row>
    <row r="17" ht="14.25" customHeight="1">
      <c r="A17" s="10" t="s">
        <v>152</v>
      </c>
      <c r="B17" s="1">
        <v>0.065</v>
      </c>
      <c r="C17" s="261">
        <v>1.157</v>
      </c>
      <c r="D17" s="261">
        <v>1.159</v>
      </c>
      <c r="E17" s="261">
        <v>1.203</v>
      </c>
    </row>
    <row r="18" ht="14.25" customHeight="1">
      <c r="A18" s="10" t="s">
        <v>153</v>
      </c>
      <c r="B18" s="1">
        <v>0.065</v>
      </c>
      <c r="C18" s="261">
        <v>1.157</v>
      </c>
      <c r="D18" s="261">
        <v>1.159</v>
      </c>
      <c r="E18" s="261">
        <v>1.203</v>
      </c>
    </row>
    <row r="19" ht="14.25" customHeight="1">
      <c r="A19" s="10" t="s">
        <v>139</v>
      </c>
      <c r="B19" s="1">
        <v>0.065</v>
      </c>
      <c r="C19" s="261">
        <v>1.157</v>
      </c>
      <c r="D19" s="261">
        <v>1.153</v>
      </c>
      <c r="E19" s="261">
        <v>1.174</v>
      </c>
    </row>
    <row r="20" ht="14.25" customHeight="1">
      <c r="A20" s="10" t="s">
        <v>142</v>
      </c>
      <c r="B20" s="259">
        <v>0.065</v>
      </c>
      <c r="C20" s="260">
        <v>1.157</v>
      </c>
      <c r="D20" s="260">
        <v>1.153</v>
      </c>
      <c r="E20" s="260">
        <v>1.174</v>
      </c>
    </row>
    <row r="21" ht="14.25" customHeight="1">
      <c r="A21" s="10" t="s">
        <v>156</v>
      </c>
      <c r="B21" s="259">
        <v>0.065</v>
      </c>
      <c r="C21" s="260">
        <v>1.157</v>
      </c>
      <c r="D21" s="260">
        <v>1.153</v>
      </c>
      <c r="E21" s="260">
        <v>1.174</v>
      </c>
    </row>
    <row r="22" ht="14.25" customHeight="1">
      <c r="A22" s="10" t="s">
        <v>157</v>
      </c>
      <c r="B22" s="1"/>
    </row>
    <row r="23" ht="14.25" customHeight="1">
      <c r="B23" s="1"/>
    </row>
    <row r="24" ht="14.25" customHeight="1">
      <c r="B24" s="1"/>
    </row>
    <row r="25" ht="14.25" customHeight="1">
      <c r="B25" s="1"/>
    </row>
    <row r="26" ht="14.25" customHeight="1">
      <c r="B26" s="1"/>
    </row>
    <row r="27" ht="14.25" customHeight="1">
      <c r="B27" s="1"/>
    </row>
    <row r="28" ht="14.25" customHeight="1">
      <c r="B28" s="1"/>
    </row>
    <row r="29" ht="14.25" customHeight="1">
      <c r="B29" s="1"/>
    </row>
    <row r="30" ht="14.25" customHeight="1">
      <c r="B30" s="1"/>
    </row>
    <row r="31" ht="14.25" customHeight="1">
      <c r="B31" s="1"/>
    </row>
    <row r="32" ht="14.25" customHeight="1">
      <c r="B32" s="1"/>
    </row>
    <row r="33" ht="14.25" customHeight="1">
      <c r="B33" s="1"/>
    </row>
    <row r="34" ht="14.25" customHeight="1">
      <c r="B34" s="1"/>
    </row>
    <row r="35" ht="14.25" customHeight="1">
      <c r="B35" s="1"/>
    </row>
    <row r="36" ht="14.25" customHeight="1">
      <c r="B36" s="1"/>
    </row>
    <row r="37" ht="14.25" customHeight="1">
      <c r="B37" s="1"/>
    </row>
    <row r="38" ht="14.25" customHeight="1">
      <c r="B38" s="1"/>
    </row>
    <row r="39" ht="14.25" customHeight="1">
      <c r="B39" s="1"/>
    </row>
    <row r="40" ht="14.25" customHeight="1">
      <c r="B40" s="1"/>
    </row>
    <row r="41" ht="14.25" customHeight="1">
      <c r="B41" s="1"/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  <row r="1001" ht="14.25" customHeight="1">
      <c r="B1001" s="1"/>
    </row>
    <row r="1002" ht="14.25" customHeight="1">
      <c r="B1002" s="1"/>
    </row>
    <row r="1003" ht="14.25" customHeight="1">
      <c r="B1003" s="1"/>
    </row>
    <row r="1004" ht="14.25" customHeight="1">
      <c r="B1004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86"/>
    <col customWidth="1" min="2" max="2" width="30.86"/>
    <col customWidth="1" min="3" max="3" width="13.43"/>
    <col customWidth="1" min="4" max="4" width="6.86"/>
    <col customWidth="1" min="5" max="5" width="1.86"/>
    <col customWidth="1" min="6" max="6" width="30.86"/>
    <col customWidth="1" min="7" max="7" width="13.43"/>
    <col customWidth="1" min="8" max="8" width="6.86"/>
    <col customWidth="1" min="9" max="9" width="1.86"/>
    <col customWidth="1" min="10" max="10" width="30.86"/>
    <col customWidth="1" min="11" max="11" width="13.43"/>
    <col customWidth="1" min="12" max="12" width="6.86"/>
    <col customWidth="1" min="13" max="13" width="1.86"/>
    <col customWidth="1" min="14" max="14" width="11.43"/>
    <col customWidth="1" min="15" max="16" width="13.43"/>
    <col customWidth="1" min="17" max="17" width="5.86"/>
    <col customWidth="1" min="18" max="18" width="10.86"/>
    <col customWidth="1" min="19" max="19" width="13.43"/>
    <col customWidth="1" min="20" max="21" width="10.86"/>
    <col customWidth="1" min="22" max="22" width="10.43"/>
    <col customWidth="1" min="23" max="24" width="8.86"/>
    <col customWidth="1" min="25" max="25" width="11.14"/>
    <col customWidth="1" min="26" max="26" width="6.43"/>
    <col customWidth="1" min="27" max="29" width="8.86"/>
  </cols>
  <sheetData>
    <row r="1" ht="14.25" customHeight="1"/>
    <row r="2" ht="14.25" customHeight="1">
      <c r="A2" s="10" t="s">
        <v>45</v>
      </c>
      <c r="B2" s="262" t="str">
        <f>MID(CELL("filename",A1),SEARCH("[",CELL("filename",A1))+1,LEN(CELL("filename",A1))-SEARCH("[",CELL("filename",A1))-16)</f>
        <v>#VALUE!</v>
      </c>
      <c r="C2" s="263"/>
      <c r="D2" s="263"/>
      <c r="E2" s="263"/>
      <c r="F2" s="264" t="s">
        <v>404</v>
      </c>
      <c r="G2" s="68"/>
      <c r="H2" s="263"/>
      <c r="I2" s="263"/>
      <c r="J2" s="263"/>
      <c r="K2" s="265" t="s">
        <v>215</v>
      </c>
      <c r="M2" s="10" t="s">
        <v>45</v>
      </c>
      <c r="N2" s="266" t="s">
        <v>405</v>
      </c>
      <c r="O2" s="263"/>
      <c r="P2" s="263"/>
      <c r="Q2" s="263"/>
      <c r="R2" s="263"/>
      <c r="S2" s="263"/>
      <c r="T2" s="267"/>
      <c r="U2" s="79"/>
      <c r="V2" s="79"/>
      <c r="W2" s="79"/>
      <c r="X2" s="79"/>
      <c r="Y2" s="79"/>
      <c r="Z2" s="79"/>
      <c r="AA2" s="79"/>
      <c r="AB2" s="115"/>
    </row>
    <row r="3" ht="14.25" customHeight="1">
      <c r="G3" s="76"/>
      <c r="N3" s="77" t="s">
        <v>406</v>
      </c>
      <c r="P3" s="78" t="str">
        <f>G19+G34+G46+K47</f>
        <v>#N/A</v>
      </c>
      <c r="Q3" s="79"/>
      <c r="R3" s="10" t="str">
        <f>"Printed parts / "&amp;C14&amp;" build"</f>
        <v>Printed parts / 12L build</v>
      </c>
      <c r="T3" s="80">
        <f>parts_job</f>
        <v>360</v>
      </c>
      <c r="AB3" s="81"/>
    </row>
    <row r="4" ht="14.25" customHeight="1">
      <c r="A4" s="10" t="s">
        <v>45</v>
      </c>
      <c r="B4" s="86" t="s">
        <v>217</v>
      </c>
      <c r="C4" s="87"/>
      <c r="E4" s="10" t="s">
        <v>45</v>
      </c>
      <c r="F4" s="86" t="s">
        <v>218</v>
      </c>
      <c r="G4" s="87"/>
      <c r="I4" s="10" t="s">
        <v>45</v>
      </c>
      <c r="J4" s="86" t="s">
        <v>407</v>
      </c>
      <c r="K4" s="87"/>
      <c r="N4" s="77" t="str">
        <f>IF(C16="Shop","DM",C16&amp;" cu ft MIM")&amp;" furnace MSRP"</f>
        <v>DM furnace MSRP</v>
      </c>
      <c r="P4" s="78" t="str">
        <f>IF(C16="Shop",K13,K33)</f>
        <v>N.A.</v>
      </c>
      <c r="R4" s="10" t="s">
        <v>220</v>
      </c>
      <c r="T4" s="88">
        <f>G16</f>
        <v>0.6966843891</v>
      </c>
      <c r="AB4" s="81"/>
    </row>
    <row r="5" ht="14.25" customHeight="1">
      <c r="B5" s="91" t="s">
        <v>221</v>
      </c>
      <c r="C5" s="92">
        <v>15.0</v>
      </c>
      <c r="D5" s="10" t="s">
        <v>55</v>
      </c>
      <c r="F5" s="91" t="s">
        <v>222</v>
      </c>
      <c r="G5" s="93">
        <f>part_vol_scale*Shop!bed_density</f>
        <v>3564.868995</v>
      </c>
      <c r="H5" s="10" t="s">
        <v>223</v>
      </c>
      <c r="J5" s="91" t="s">
        <v>239</v>
      </c>
      <c r="K5" s="93" t="str">
        <f>ROUNDDOWN((dm_furnace_x+furnace_xy_spacing)/(furnace_part_scale_x+furnace_xy_spacing),0)*ROUNDDOWN((dm_furnace_y+furnace_xy_spacing)/(furnace_part_scale_y+furnace_xy_spacing),0)*MIN(5,ROUNDDOWN(dm_furnace_z/(furnace_part_scale_z+furnace_z_spacing),0))</f>
        <v>#N/A</v>
      </c>
      <c r="N5" s="96" t="s">
        <v>225</v>
      </c>
      <c r="O5" s="96"/>
      <c r="P5" s="97" t="str">
        <f>SUM(P3:P4)</f>
        <v>#N/A</v>
      </c>
      <c r="T5" s="98"/>
      <c r="AB5" s="81"/>
    </row>
    <row r="6" ht="14.25" customHeight="1">
      <c r="B6" s="77" t="s">
        <v>226</v>
      </c>
      <c r="C6" s="92">
        <v>16.0</v>
      </c>
      <c r="D6" s="10" t="s">
        <v>55</v>
      </c>
      <c r="F6" s="77" t="s">
        <v>227</v>
      </c>
      <c r="G6" s="101">
        <f>G5*Shop!density_selected*1000</f>
        <v>28.51895196</v>
      </c>
      <c r="H6" s="10" t="s">
        <v>228</v>
      </c>
      <c r="J6" s="77" t="s">
        <v>243</v>
      </c>
      <c r="K6" s="119">
        <f>C52</f>
        <v>240</v>
      </c>
      <c r="N6" s="103" t="str">
        <f>C14&amp;" printers required"</f>
        <v>12L printers required</v>
      </c>
      <c r="O6" s="11"/>
      <c r="P6" s="104">
        <f>G10</f>
        <v>1</v>
      </c>
      <c r="R6" s="10" t="s">
        <v>229</v>
      </c>
      <c r="T6" s="105">
        <f>T8/weeks_yr</f>
        <v>17.32853009</v>
      </c>
      <c r="AB6" s="81"/>
    </row>
    <row r="7" ht="14.25" customHeight="1">
      <c r="B7" s="77" t="s">
        <v>230</v>
      </c>
      <c r="C7" s="92">
        <v>16.0</v>
      </c>
      <c r="D7" s="10" t="s">
        <v>55</v>
      </c>
      <c r="F7" s="77" t="s">
        <v>231</v>
      </c>
      <c r="G7" s="108">
        <f>(G6*parts_job)/1000+((build_vol*Shop!bed_density*Shop!density_selected*powder_ratio)-(G6*parts_job)/1000)*powder_loss_percentage</f>
        <v>10.34811881</v>
      </c>
      <c r="H7" s="10" t="s">
        <v>87</v>
      </c>
      <c r="J7" s="77" t="s">
        <v>246</v>
      </c>
      <c r="K7" s="268" t="str">
        <f>43+K5/K6*2</f>
        <v>#N/A</v>
      </c>
      <c r="L7" s="10" t="s">
        <v>81</v>
      </c>
      <c r="N7" s="103" t="s">
        <v>408</v>
      </c>
      <c r="P7" s="109" t="str">
        <f>IF(furnace_sel="Shop",K11,K31)</f>
        <v>N.A.</v>
      </c>
      <c r="R7" s="10" t="s">
        <v>233</v>
      </c>
      <c r="T7" s="105">
        <f>T6*4</f>
        <v>69.31412037</v>
      </c>
      <c r="AB7" s="81"/>
    </row>
    <row r="8" ht="14.25" customHeight="1">
      <c r="B8" s="77" t="s">
        <v>234</v>
      </c>
      <c r="C8" s="92">
        <f>+part_x*part_y*part_z</f>
        <v>3840</v>
      </c>
      <c r="D8" s="10" t="s">
        <v>223</v>
      </c>
      <c r="F8" s="77" t="s">
        <v>235</v>
      </c>
      <c r="G8" s="110" t="str">
        <f>part_vol_scale*binder_ratio</f>
        <v>#N/A</v>
      </c>
      <c r="H8" s="10" t="s">
        <v>223</v>
      </c>
      <c r="J8" s="77" t="s">
        <v>249</v>
      </c>
      <c r="K8" s="130" t="str">
        <f>IFERROR((good_parts_job/K5*K7),"N.A.")</f>
        <v>N.A.</v>
      </c>
      <c r="L8" s="10" t="s">
        <v>81</v>
      </c>
      <c r="N8" s="77"/>
      <c r="R8" s="10" t="s">
        <v>236</v>
      </c>
      <c r="T8" s="105">
        <f>total_builds_yr</f>
        <v>831.7694444</v>
      </c>
      <c r="AB8" s="81"/>
    </row>
    <row r="9" ht="14.25" customHeight="1">
      <c r="B9" s="77" t="s">
        <v>237</v>
      </c>
      <c r="C9" s="92"/>
      <c r="D9" s="10" t="s">
        <v>223</v>
      </c>
      <c r="F9" s="77" t="s">
        <v>238</v>
      </c>
      <c r="G9" s="112" t="str">
        <f>G8*parts_job/10^6+(build_layers/C84+2)*binder_purge_vol/1000</f>
        <v>#N/A</v>
      </c>
      <c r="H9" s="10" t="s">
        <v>95</v>
      </c>
      <c r="J9" s="77" t="s">
        <v>252</v>
      </c>
      <c r="K9" s="102" t="str">
        <f>IFERROR(ROUNDDOWN(avail_hours_yr/K8,0),"N.A.")</f>
        <v>N.A.</v>
      </c>
      <c r="N9" s="114" t="s">
        <v>240</v>
      </c>
      <c r="T9" s="115"/>
      <c r="AB9" s="81"/>
    </row>
    <row r="10" ht="14.25" customHeight="1">
      <c r="B10" s="77" t="s">
        <v>241</v>
      </c>
      <c r="C10" s="117">
        <f>Shop!part_only_vol+Shop!support_vol</f>
        <v>3840</v>
      </c>
      <c r="D10" s="10" t="s">
        <v>223</v>
      </c>
      <c r="F10" s="77" t="s">
        <v>245</v>
      </c>
      <c r="G10" s="110">
        <f>ROUNDUP(part_req/part_capacity,0)</f>
        <v>1</v>
      </c>
      <c r="H10" s="124"/>
      <c r="J10" s="77" t="s">
        <v>255</v>
      </c>
      <c r="K10" s="102" t="str">
        <f>IFERROR(ROUNDUP(part_req/K5,0),"N.A.")</f>
        <v>N.A.</v>
      </c>
      <c r="N10" s="91" t="s">
        <v>244</v>
      </c>
      <c r="O10" s="115"/>
      <c r="P10" s="120" t="str">
        <f>P32+P33+P35+P36</f>
        <v>#N/A</v>
      </c>
      <c r="Q10" s="121"/>
      <c r="R10" s="10" t="str">
        <f>IF($C$15="Yes","Sintered","Green")&amp;" parts / week"</f>
        <v>Sintered parts / week</v>
      </c>
      <c r="T10" s="80">
        <f>T12/weeks_yr</f>
        <v>6238.270833</v>
      </c>
      <c r="AB10" s="81"/>
    </row>
    <row r="11" ht="14.25" customHeight="1">
      <c r="B11" s="123"/>
      <c r="C11" s="123"/>
      <c r="F11" s="77" t="s">
        <v>248</v>
      </c>
      <c r="G11" s="119">
        <f>part_req/good_parts_job*print_time_trn</f>
        <v>3840.002269</v>
      </c>
      <c r="H11" s="10" t="s">
        <v>81</v>
      </c>
      <c r="J11" s="77" t="s">
        <v>409</v>
      </c>
      <c r="K11" s="102" t="str">
        <f>IFERROR(ROUNDUP(total_builds_yr/K9,0),"N.A.")</f>
        <v>N.A.</v>
      </c>
      <c r="N11" s="77" t="str">
        <f>IF(C15="Yes","Sintered","Green")&amp;" part cost"</f>
        <v>Sintered part cost</v>
      </c>
      <c r="O11" s="81"/>
      <c r="P11" s="126" t="str">
        <f>T38-T34-T37</f>
        <v>#N/A</v>
      </c>
      <c r="Q11" s="121"/>
      <c r="R11" s="10" t="str">
        <f>IF($C$15="Yes","Sintered","Green")&amp;" parts / month"</f>
        <v>Sintered parts / month</v>
      </c>
      <c r="T11" s="105">
        <f>T10*4</f>
        <v>24953.08333</v>
      </c>
      <c r="AB11" s="81"/>
    </row>
    <row r="12" ht="14.25" customHeight="1">
      <c r="A12" s="10" t="s">
        <v>45</v>
      </c>
      <c r="B12" s="86" t="s">
        <v>247</v>
      </c>
      <c r="C12" s="87"/>
      <c r="F12" s="77" t="s">
        <v>251</v>
      </c>
      <c r="G12" s="119">
        <f>part_req/good_parts_job</f>
        <v>831.7694444</v>
      </c>
      <c r="J12" s="77" t="s">
        <v>410</v>
      </c>
      <c r="K12" s="102" t="str">
        <f>IFERROR(K7*K10,"N.A.")</f>
        <v>N.A.</v>
      </c>
      <c r="L12" s="10" t="s">
        <v>81</v>
      </c>
      <c r="N12" s="91" t="str">
        <f t="shared" ref="N12:N13" si="1">N10&amp;" / cc"</f>
        <v>Printed part cost / cc</v>
      </c>
      <c r="O12" s="131"/>
      <c r="P12" s="120" t="str">
        <f>P10/Shop!part_only_vol*10^3</f>
        <v>#N/A</v>
      </c>
      <c r="Q12" s="121"/>
      <c r="R12" s="10" t="str">
        <f>IF($C$15="Yes","Sintered","Green")&amp;" parts / year"</f>
        <v>Sintered parts / year</v>
      </c>
      <c r="T12" s="132">
        <f>part_req</f>
        <v>299437</v>
      </c>
      <c r="AB12" s="81"/>
    </row>
    <row r="13" ht="14.25" customHeight="1">
      <c r="B13" s="77" t="s">
        <v>411</v>
      </c>
      <c r="C13" s="149" t="s">
        <v>412</v>
      </c>
      <c r="F13" s="77" t="s">
        <v>254</v>
      </c>
      <c r="G13" s="119">
        <f>G12/12</f>
        <v>69.31412037</v>
      </c>
      <c r="J13" s="77" t="s">
        <v>413</v>
      </c>
      <c r="K13" s="158" t="str">
        <f>IFERROR(K11*dm_furnace_msrp,"N.A.")</f>
        <v>N.A.</v>
      </c>
      <c r="N13" s="136" t="str">
        <f t="shared" si="1"/>
        <v>Sintered part cost / cc</v>
      </c>
      <c r="O13" s="137"/>
      <c r="P13" s="269" t="str">
        <f>P11/Shop!part_only_vol*10^3</f>
        <v>#N/A</v>
      </c>
      <c r="Q13" s="121"/>
      <c r="T13" s="119"/>
      <c r="AB13" s="81"/>
    </row>
    <row r="14" ht="14.25" customHeight="1">
      <c r="B14" s="224" t="s">
        <v>414</v>
      </c>
      <c r="C14" s="148" t="s">
        <v>415</v>
      </c>
      <c r="F14" s="77" t="s">
        <v>257</v>
      </c>
      <c r="G14" s="144">
        <f>G11/(avail_hours_yr*G10)</f>
        <v>1.000000591</v>
      </c>
      <c r="J14" s="77" t="str">
        <f>"Annual depreciation (@ "&amp;Shop!dm_depr&amp;" yrs)"</f>
        <v>Annual depreciation (@ 5 yrs)</v>
      </c>
      <c r="K14" s="158" t="str">
        <f>IFERROR(K13/Shop!dm_depr+(1.6*1.4)*K11*Shop!floor_rate,"N.A.")</f>
        <v>N.A.</v>
      </c>
      <c r="N14" s="77"/>
      <c r="P14" s="124"/>
      <c r="Q14" s="121"/>
      <c r="R14" s="10" t="str">
        <f>"Printer util (QTY: "&amp;G10&amp;")"</f>
        <v>Printer util (QTY: 1)</v>
      </c>
      <c r="T14" s="141">
        <f>G14</f>
        <v>1.000000591</v>
      </c>
      <c r="V14" s="11"/>
      <c r="AB14" s="81"/>
    </row>
    <row r="15" ht="14.25" customHeight="1">
      <c r="B15" s="77" t="s">
        <v>256</v>
      </c>
      <c r="C15" s="148" t="s">
        <v>67</v>
      </c>
      <c r="F15" s="77" t="s">
        <v>260</v>
      </c>
      <c r="G15" s="144">
        <f>G11/(24*7*52*G10)</f>
        <v>0.4395606992</v>
      </c>
      <c r="J15" s="77" t="s">
        <v>290</v>
      </c>
      <c r="K15" s="159" t="str">
        <f>IFERROR(dm_furnace_consumables_run/K5+dm_furnace_consumables_material*(G6/1000),"N.A.")</f>
        <v>N.A.</v>
      </c>
      <c r="N15" s="114" t="s">
        <v>259</v>
      </c>
      <c r="P15" s="10"/>
      <c r="Q15" s="121"/>
      <c r="R15" s="10" t="str">
        <f>"Oven util (QTY: "&amp;G32&amp;")"</f>
        <v>#N/A</v>
      </c>
      <c r="T15" s="145" t="str">
        <f>G33/(total_hours_yr*G32*Shop!uptime)</f>
        <v>#N/A</v>
      </c>
      <c r="AB15" s="81"/>
    </row>
    <row r="16" ht="14.25" customHeight="1">
      <c r="B16" s="77" t="s">
        <v>224</v>
      </c>
      <c r="C16" s="148" t="s">
        <v>416</v>
      </c>
      <c r="D16" s="95" t="str">
        <f>IF(OR(furnace_sel="Shop",furnace_sel="Continuous"),,"ft3")</f>
        <v/>
      </c>
      <c r="F16" s="77" t="s">
        <v>314</v>
      </c>
      <c r="G16" s="150">
        <f>part_vol_scale*parts_job/build_vol</f>
        <v>0.6966843891</v>
      </c>
      <c r="J16" s="77" t="s">
        <v>286</v>
      </c>
      <c r="K16" s="159" t="str">
        <f>IFERROR(K12/(total_hours_yr*K11)*K14/part_req,"N.A.")</f>
        <v>N.A.</v>
      </c>
      <c r="N16" s="91" t="s">
        <v>244</v>
      </c>
      <c r="O16" s="115"/>
      <c r="P16" s="120" t="str">
        <f>SUM(P32:P36)</f>
        <v>#N/A</v>
      </c>
      <c r="Q16" s="121"/>
      <c r="R16" s="10" t="str">
        <f>"Depowder util (QTY: "&amp;G44&amp;")"</f>
        <v>Depowder util (QTY: 2)</v>
      </c>
      <c r="T16" s="145">
        <f>G45/(avail_hours_yr*G44*Shop!uptime)</f>
        <v>0.703971535</v>
      </c>
      <c r="AB16" s="81"/>
    </row>
    <row r="17" ht="14.25" customHeight="1">
      <c r="B17" s="77" t="s">
        <v>417</v>
      </c>
      <c r="C17" s="149" t="s">
        <v>263</v>
      </c>
      <c r="D17" s="95"/>
      <c r="F17" s="123"/>
      <c r="G17" s="270"/>
      <c r="J17" s="77" t="s">
        <v>277</v>
      </c>
      <c r="K17" s="159" t="str">
        <f>IFERROR(labor_rate*(K7-43)/K5,"N.A.")</f>
        <v>N.A.</v>
      </c>
      <c r="N17" s="77" t="str">
        <f>IF(C15="Yes","Sintered","Green")&amp;" part cost"</f>
        <v>Sintered part cost</v>
      </c>
      <c r="P17" s="126" t="str">
        <f>T46</f>
        <v>#N/A</v>
      </c>
      <c r="R17" s="10" t="str">
        <f>"Furnace util (QTY: "&amp;IF(furnace_sel="Shop",K11,K31)&amp;")"</f>
        <v>Furnace util (QTY: N.A.)</v>
      </c>
      <c r="T17" s="88" t="str">
        <f>IF(C16="Shop",K12/(total_hours_yr*K11*Shop!uptime),K32/(total_hours_yr*K31*Shop!uptime))</f>
        <v>#VALUE!</v>
      </c>
      <c r="AB17" s="81"/>
    </row>
    <row r="18" ht="14.25" customHeight="1">
      <c r="B18" s="77" t="s">
        <v>266</v>
      </c>
      <c r="C18" s="148" t="s">
        <v>68</v>
      </c>
      <c r="D18" s="95"/>
      <c r="E18" s="10" t="s">
        <v>45</v>
      </c>
      <c r="F18" s="86" t="s">
        <v>269</v>
      </c>
      <c r="G18" s="87"/>
      <c r="J18" s="136" t="s">
        <v>281</v>
      </c>
      <c r="K18" s="168" t="str">
        <f>IFERROR((1.25*power_rate*43+0.011*2400)/K5,"N.A.")</f>
        <v>N.A.</v>
      </c>
      <c r="N18" s="91" t="s">
        <v>267</v>
      </c>
      <c r="O18" s="153"/>
      <c r="P18" s="120" t="str">
        <f>P16/Shop!part_only_vol*10^3</f>
        <v>#N/A</v>
      </c>
      <c r="T18" s="81"/>
      <c r="AB18" s="81"/>
    </row>
    <row r="19" ht="14.25" customHeight="1">
      <c r="B19" s="77" t="s">
        <v>418</v>
      </c>
      <c r="C19" s="110">
        <f>ROUNDDOWN((Shop!build_x-Shop!printer_xy_border*2+Shop!printer_xy_spacing)/(part_scale_x+Shop!printer_xy_spacing),0)*ROUNDDOWN((Shop!build_y-Shop!printer_xy_border*2+Shop!printer_xy_spacing)/(part_scale_y+Shop!printer_xy_spacing),0)*ROUNDDOWN((Shop!build_z-Shop!printer_z_base+Shop!printer_z_spacing)/(part_scale_z+Shop!printer_z_spacing),0)</f>
        <v>360</v>
      </c>
      <c r="F19" s="77" t="s">
        <v>273</v>
      </c>
      <c r="G19" s="158" t="str">
        <f>G10*(printer_msrp+(C73/50-1)*printer_module_msrp)+G10*Shop!vacuum_msrp+MAX(2*G10,G32*G29+ROUNDUP(G30/print_time_trn,0))*Shop!buildbox_msrp+800*G10*2*3+1500+8000</f>
        <v>#N/A</v>
      </c>
      <c r="K19" s="10"/>
      <c r="N19" s="156" t="str">
        <f>IF(C15="Yes","Sintered","Green")&amp;" part cost / cc"</f>
        <v>Sintered part cost / cc</v>
      </c>
      <c r="O19" s="11"/>
      <c r="P19" s="271" t="str">
        <f>P17/Shop!part_only_vol*10^3</f>
        <v>#N/A</v>
      </c>
      <c r="R19" s="121" t="s">
        <v>271</v>
      </c>
      <c r="S19" s="121"/>
      <c r="T19" s="119" t="str">
        <f>1*total_builds_yr+0.5*total_builds_yr/2+G45+IF(C16="Shop",K5/K6*K10*2,K25/K26*K30*2)+0.25*(K46/K42)</f>
        <v>#N/A</v>
      </c>
      <c r="AB19" s="81"/>
    </row>
    <row r="20" ht="14.25" customHeight="1">
      <c r="B20" s="77" t="s">
        <v>378</v>
      </c>
      <c r="C20" s="119">
        <f>Shop!printer_z_base+(part_scale_z)*ROUNDDOWN((Shop!build_z-Shop!printer_z_base+Shop!printer_z_spacing)/(part_scale_z+Shop!printer_z_spacing),0)+Shop!printer_z_spacing*(ROUNDDOWN((Shop!build_z-Shop!printer_z_base+Shop!printer_z_spacing)/(part_scale_z+Shop!printer_z_spacing),0)-1)</f>
        <v>42.72</v>
      </c>
      <c r="D20" s="10" t="s">
        <v>55</v>
      </c>
      <c r="F20" s="77" t="str">
        <f>"Annual depreciation (@ "&amp;Shop!dm_depr&amp;" yrs)"</f>
        <v>Annual depreciation (@ 5 yrs)</v>
      </c>
      <c r="G20" s="158" t="str">
        <f>G19/Shop!dm_depr+(2*0.8+0.56*0.57)*G10*Shop!floor_rate</f>
        <v>#N/A</v>
      </c>
      <c r="I20" s="10" t="s">
        <v>45</v>
      </c>
      <c r="J20" s="86" t="s">
        <v>419</v>
      </c>
      <c r="K20" s="87"/>
      <c r="N20" s="160" t="s">
        <v>275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115"/>
    </row>
    <row r="21" ht="14.25" customHeight="1">
      <c r="B21" s="77" t="s">
        <v>279</v>
      </c>
      <c r="C21" s="167" t="s">
        <v>68</v>
      </c>
      <c r="F21" s="77" t="s">
        <v>280</v>
      </c>
      <c r="G21" s="159">
        <f>(G7*powder_price)/good_parts_job</f>
        <v>2.357071507</v>
      </c>
      <c r="J21" s="91" t="s">
        <v>224</v>
      </c>
      <c r="K21" s="94" t="str">
        <f>C16</f>
        <v>Shop</v>
      </c>
      <c r="L21" s="95" t="str">
        <f>IF(OR(furnace_sel="Shop",furnace_sel="Continuous"),,"ft3")</f>
        <v/>
      </c>
      <c r="N21" s="164" t="s">
        <v>278</v>
      </c>
      <c r="O21" s="165"/>
      <c r="Q21" s="165"/>
      <c r="R21" s="165"/>
      <c r="S21" s="165"/>
      <c r="T21" s="165"/>
      <c r="U21" s="165"/>
      <c r="AB21" s="81"/>
    </row>
    <row r="22" ht="14.25" customHeight="1">
      <c r="B22" s="77" t="s">
        <v>282</v>
      </c>
      <c r="C22" s="169">
        <v>12.0</v>
      </c>
      <c r="F22" s="77" t="s">
        <v>283</v>
      </c>
      <c r="G22" s="159" t="str">
        <f>G9*binder_price/good_parts_job</f>
        <v>#N/A</v>
      </c>
      <c r="J22" s="77" t="s">
        <v>180</v>
      </c>
      <c r="K22" s="102" t="str">
        <f t="shared" ref="K22:K24" si="2">C109</f>
        <v>N.A.</v>
      </c>
      <c r="L22" s="10" t="s">
        <v>55</v>
      </c>
      <c r="N22" s="164" t="str">
        <f>"2. DM Equipment MSRP includes printer build boxes ("&amp;MAX(2*G10,G32*G29+ROUNDUP(G30/print_time_trn,0))&amp;"x), powder kegs, and transfer cart."</f>
        <v>#N/A</v>
      </c>
      <c r="Q22" s="165"/>
      <c r="R22" s="165"/>
      <c r="S22" s="165"/>
      <c r="T22" s="165"/>
      <c r="U22" s="165"/>
      <c r="AB22" s="81"/>
      <c r="AC22" s="165"/>
    </row>
    <row r="23" ht="14.25" customHeight="1">
      <c r="B23" s="77" t="s">
        <v>285</v>
      </c>
      <c r="C23" s="170">
        <v>147.0</v>
      </c>
      <c r="D23" s="10" t="s">
        <v>55</v>
      </c>
      <c r="F23" s="77" t="s">
        <v>286</v>
      </c>
      <c r="G23" s="159" t="str">
        <f>G11/(avail_hours_yr*G10)*G20/part_req</f>
        <v>#N/A</v>
      </c>
      <c r="J23" s="77" t="s">
        <v>181</v>
      </c>
      <c r="K23" s="102" t="str">
        <f t="shared" si="2"/>
        <v>N.A.</v>
      </c>
      <c r="L23" s="10" t="s">
        <v>55</v>
      </c>
      <c r="N23" s="164" t="s">
        <v>284</v>
      </c>
      <c r="O23" s="165"/>
      <c r="Q23" s="165"/>
      <c r="R23" s="165"/>
      <c r="S23" s="165"/>
      <c r="T23" s="165"/>
      <c r="U23" s="165"/>
      <c r="AB23" s="81"/>
      <c r="AC23" s="165"/>
    </row>
    <row r="24" ht="14.25" customHeight="1">
      <c r="B24" s="77" t="s">
        <v>292</v>
      </c>
      <c r="C24" s="272">
        <v>0.075</v>
      </c>
      <c r="D24" s="10" t="s">
        <v>55</v>
      </c>
      <c r="F24" s="77" t="s">
        <v>290</v>
      </c>
      <c r="G24" s="159" t="str">
        <f>((build_layers/printhead_life*printhead_msrp)+(build_layers/Shop!wiper_life*Shop!wiper_msrp)+(G9/Shop!sponge_life*Shop!sponge_msrp))/good_parts_job</f>
        <v>#N/A</v>
      </c>
      <c r="H24" s="124"/>
      <c r="J24" s="77" t="s">
        <v>182</v>
      </c>
      <c r="K24" s="102" t="str">
        <f t="shared" si="2"/>
        <v>N.A.</v>
      </c>
      <c r="L24" s="10" t="s">
        <v>55</v>
      </c>
      <c r="N24" s="164" t="s">
        <v>288</v>
      </c>
      <c r="O24" s="171"/>
      <c r="Q24" s="165"/>
      <c r="R24" s="165"/>
      <c r="S24" s="165"/>
      <c r="T24" s="165"/>
      <c r="U24" s="165"/>
      <c r="AB24" s="81"/>
      <c r="AC24" s="165"/>
    </row>
    <row r="25" ht="14.25" customHeight="1">
      <c r="B25" s="77" t="s">
        <v>420</v>
      </c>
      <c r="C25" s="110">
        <f>ROUNDUP(build_height/C24,0)</f>
        <v>570</v>
      </c>
      <c r="F25" s="77" t="s">
        <v>277</v>
      </c>
      <c r="G25" s="159">
        <f>print_trnaround*labor_rate/good_parts_job</f>
        <v>0.02777777778</v>
      </c>
      <c r="H25" s="124"/>
      <c r="J25" s="77" t="s">
        <v>239</v>
      </c>
      <c r="K25" s="113" t="str">
        <f>IF(furnace_sel="Continuous",part_req,ROUNDDOWN((Shop!mim_furnace_x+furnace_xy_spacing)/(furnace_part_scale_x+furnace_xy_spacing),0)*ROUNDDOWN((Shop!mim_furnace_y+furnace_xy_spacing)/(furnace_part_scale_y+furnace_xy_spacing),0)*MIN(furnace_shelves,ROUNDDOWN(Shop!mim_furnace_z/(furnace_part_scale_z+Shop!Furnace_rack_thickness+furnace_z_spacing),0)))</f>
        <v>#VALUE!</v>
      </c>
      <c r="N25" s="164" t="str">
        <f>"5. "&amp;C41&amp;" powder at "&amp;TEXT(powder_price,"$0.00")&amp;"/kg and binder at "&amp;TEXT(binder_price,"$0.00")&amp;"/L. Volume pricing may be available."</f>
        <v>5. 17-4PH SS powder at $82.00/kg and binder at $300.00/L. Volume pricing may be available.</v>
      </c>
      <c r="O25" s="171"/>
      <c r="Q25" s="171"/>
      <c r="R25" s="171"/>
      <c r="S25" s="171"/>
      <c r="T25" s="171"/>
      <c r="U25" s="171"/>
      <c r="AB25" s="81"/>
      <c r="AC25" s="165"/>
    </row>
    <row r="26" ht="14.25" customHeight="1">
      <c r="B26" s="77" t="str">
        <f>"Print time + "&amp;print_trnaround&amp;"hrs turnaround"</f>
        <v>Print time + 0.5hrs turnaround</v>
      </c>
      <c r="C26" s="273">
        <f>C25*Shop!layer_speed/(60*60)+print_trnaround</f>
        <v>4.616666667</v>
      </c>
      <c r="D26" s="10" t="s">
        <v>81</v>
      </c>
      <c r="F26" s="136" t="s">
        <v>295</v>
      </c>
      <c r="G26" s="168">
        <f>power_rate*5*(print_time_trn-print_trnaround)/good_parts_job</f>
        <v>0.006861111111</v>
      </c>
      <c r="H26" s="124"/>
      <c r="J26" s="77" t="s">
        <v>243</v>
      </c>
      <c r="K26" s="119">
        <f>C52</f>
        <v>240</v>
      </c>
      <c r="N26" s="164" t="str">
        <f>"6. Key process assumptions: (i) "&amp;C24*1000&amp;" micron printed layer height; (ii) $"&amp;labor_rate&amp;"/hr labor rate; (iii) Printer, depowdering, and powder handling equipment @ "&amp;C31&amp;" x "&amp;C32&amp;" x "&amp;weeks_yr&amp;" x "&amp;Shop!uptime*100&amp;"% uptime"</f>
        <v>6. Key process assumptions: (i) 75 micron printed layer height; (ii) $20/hr labor rate; (iii) Printer, depowdering, and powder handling equipment @ 16 x 5 x 48 x 100% uptime</v>
      </c>
      <c r="O26" s="171"/>
      <c r="Q26" s="171"/>
      <c r="R26" s="171"/>
      <c r="S26" s="171"/>
      <c r="T26" s="171"/>
      <c r="U26" s="171"/>
      <c r="AB26" s="81"/>
      <c r="AC26" s="171"/>
    </row>
    <row r="27" ht="14.25" customHeight="1">
      <c r="B27" s="77" t="s">
        <v>299</v>
      </c>
      <c r="C27" s="190">
        <v>1.0</v>
      </c>
      <c r="G27" s="10"/>
      <c r="H27" s="124"/>
      <c r="J27" s="77" t="s">
        <v>246</v>
      </c>
      <c r="K27" s="125" t="str">
        <f>Shop!furnace_time_cycle+K25/K26*2</f>
        <v>#VALUE!</v>
      </c>
      <c r="L27" s="10" t="s">
        <v>81</v>
      </c>
      <c r="N27" s="176"/>
      <c r="O27" s="165" t="str">
        <f>"                        (iv) "&amp;G41&amp;" parts/hr depowdering rate; (v) "&amp;total_yield*100&amp;"% overall process yield; (vi) "&amp;Shop!dm_depr&amp;"yr DM equipment depreciation;"</f>
        <v>                        (iv) 60 parts/hr depowdering rate; (v) 100% overall process yield; (vi) 5yr DM equipment depreciation;</v>
      </c>
      <c r="Q27" s="171"/>
      <c r="R27" s="171"/>
      <c r="S27" s="171"/>
      <c r="T27" s="171"/>
      <c r="U27" s="171"/>
      <c r="AB27" s="81"/>
      <c r="AC27" s="171"/>
    </row>
    <row r="28" ht="14.25" customHeight="1">
      <c r="B28" s="136" t="s">
        <v>301</v>
      </c>
      <c r="C28" s="192">
        <f>IF(override_nesting="Yes",IF(C22=0,C19,C22),C19)*C27</f>
        <v>360</v>
      </c>
      <c r="E28" s="10" t="s">
        <v>45</v>
      </c>
      <c r="F28" s="86" t="s">
        <v>297</v>
      </c>
      <c r="G28" s="87"/>
      <c r="J28" s="77" t="s">
        <v>249</v>
      </c>
      <c r="K28" s="130" t="str">
        <f>IFERROR(good_parts_job/K25*K27,"N.A.")</f>
        <v>N.A.</v>
      </c>
      <c r="L28" s="10" t="s">
        <v>81</v>
      </c>
      <c r="N28" s="182"/>
      <c r="O28" s="183" t="str">
        <f>"                        (vii) Drying oven "&amp;IF(C15="Yes","&amp; sintering ",)&amp;"equipment @ 24 x 7 x "&amp;weeks_yr&amp;" x "&amp;Shop!uptime*100&amp;"% uptime; (viii) "&amp;IF(C15="Yes",Shop!furnace_depr&amp;"yr MIM furnace depreciation; (iv) ",)&amp;total_yield*100&amp;"% overall process yield"</f>
        <v>                        (vii) Drying oven &amp; sintering equipment @ 24 x 7 x 48 x 100% uptime; (viii) 10yr MIM furnace depreciation; (iv) 100% overall process yield</v>
      </c>
      <c r="P28" s="184"/>
      <c r="Q28" s="185"/>
      <c r="R28" s="185"/>
      <c r="S28" s="185"/>
      <c r="T28" s="185"/>
      <c r="U28" s="185"/>
      <c r="V28" s="186"/>
      <c r="W28" s="187"/>
      <c r="X28" s="184"/>
      <c r="Y28" s="184"/>
      <c r="Z28" s="184"/>
      <c r="AA28" s="184"/>
      <c r="AB28" s="188"/>
      <c r="AC28" s="171"/>
    </row>
    <row r="29" ht="14.25" customHeight="1">
      <c r="F29" s="91" t="s">
        <v>84</v>
      </c>
      <c r="G29" s="93">
        <f>IF(OR(Shop!s_model="4L",Shop!s_model="8L"),2,1)</f>
        <v>1</v>
      </c>
      <c r="J29" s="77" t="s">
        <v>252</v>
      </c>
      <c r="K29" s="119" t="str">
        <f>IF(furnace_sel="Continuous",(240000/2.2)/(good_parts_job*part_vol*Shop!density_selected),ROUNDDOWN(avail_hours_yr/K28,0))</f>
        <v>#VALUE!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171"/>
    </row>
    <row r="30" ht="14.25" customHeight="1">
      <c r="A30" s="10" t="s">
        <v>45</v>
      </c>
      <c r="B30" s="86" t="s">
        <v>310</v>
      </c>
      <c r="C30" s="87"/>
      <c r="F30" s="77" t="str">
        <f>"Dry time + "&amp;Shop!xlink_trnaround&amp;"hrs turnaround"</f>
        <v>#N/A</v>
      </c>
      <c r="G30" s="193" t="str">
        <f>C92*build_height/Shop!build_z+Shop!xlink_trnaround</f>
        <v>#N/A</v>
      </c>
      <c r="H30" s="10" t="s">
        <v>81</v>
      </c>
      <c r="J30" s="77" t="s">
        <v>255</v>
      </c>
      <c r="K30" s="102" t="str">
        <f>IFERROR(ROUNDUP(part_req/K25,0),"N.A.")</f>
        <v>N.A.</v>
      </c>
      <c r="N30" s="171"/>
      <c r="Q30" s="171"/>
      <c r="R30" s="171"/>
      <c r="S30" s="171"/>
      <c r="T30" s="171"/>
      <c r="U30" s="171"/>
      <c r="V30" s="189"/>
      <c r="W30" s="121"/>
      <c r="AC30" s="171"/>
    </row>
    <row r="31" ht="14.25" customHeight="1">
      <c r="B31" s="91" t="s">
        <v>315</v>
      </c>
      <c r="C31" s="201">
        <v>16.0</v>
      </c>
      <c r="F31" s="77" t="s">
        <v>252</v>
      </c>
      <c r="G31" s="119" t="str">
        <f>ROUNDDOWN(G29*total_hours_yr/G30,0)</f>
        <v>#N/A</v>
      </c>
      <c r="J31" s="77" t="s">
        <v>421</v>
      </c>
      <c r="K31" s="102" t="str">
        <f>IFERROR(ROUNDUP(total_builds_yr/K29,0),"N.A.")</f>
        <v>N.A.</v>
      </c>
      <c r="N31" s="194" t="str">
        <f>"Shop System "&amp;C14&amp;" "&amp;LOWER(N11)&amp;" allocation"</f>
        <v>Shop System 12L sintered part cost allocation</v>
      </c>
      <c r="V31" s="194" t="s">
        <v>303</v>
      </c>
      <c r="AC31" s="171"/>
    </row>
    <row r="32" ht="14.25" customHeight="1">
      <c r="B32" s="77" t="s">
        <v>321</v>
      </c>
      <c r="C32" s="201">
        <v>5.0</v>
      </c>
      <c r="F32" s="77" t="s">
        <v>311</v>
      </c>
      <c r="G32" s="119" t="str">
        <f>ROUNDUP(total_builds_yr/G31,0)</f>
        <v>#N/A</v>
      </c>
      <c r="J32" s="77" t="s">
        <v>422</v>
      </c>
      <c r="K32" s="102" t="str">
        <f>IFERROR(K27*K30,"N.A.")</f>
        <v>N.A.</v>
      </c>
      <c r="L32" s="10" t="s">
        <v>81</v>
      </c>
      <c r="N32" s="10" t="s">
        <v>305</v>
      </c>
      <c r="O32" s="10" t="s">
        <v>306</v>
      </c>
      <c r="P32" s="124" t="str">
        <f>G21+G22</f>
        <v>#N/A</v>
      </c>
      <c r="R32" s="10" t="s">
        <v>307</v>
      </c>
      <c r="S32" s="10" t="s">
        <v>308</v>
      </c>
      <c r="T32" s="124" t="str">
        <f t="shared" ref="T32:T37" si="3">SUMIF($O$32:$O$50,S32,$P$32:$P$50)</f>
        <v>#N/A</v>
      </c>
      <c r="V32" s="195" t="s">
        <v>309</v>
      </c>
      <c r="W32" s="196"/>
      <c r="X32" s="196"/>
      <c r="Y32" s="197">
        <f>parts_job</f>
        <v>360</v>
      </c>
      <c r="AC32" s="171"/>
    </row>
    <row r="33" ht="14.25" customHeight="1">
      <c r="B33" s="77" t="s">
        <v>325</v>
      </c>
      <c r="C33" s="201">
        <v>48.0</v>
      </c>
      <c r="F33" s="77" t="s">
        <v>316</v>
      </c>
      <c r="G33" s="119" t="str">
        <f>total_builds_yr*G30/G29</f>
        <v>#N/A</v>
      </c>
      <c r="H33" s="10" t="s">
        <v>81</v>
      </c>
      <c r="J33" s="77" t="s">
        <v>423</v>
      </c>
      <c r="K33" s="151" t="str">
        <f>IFERROR(OFFSET(C126,furnace_index-1,)*K31,"N.A.")</f>
        <v>N.A.</v>
      </c>
      <c r="N33" s="10" t="s">
        <v>305</v>
      </c>
      <c r="O33" s="10" t="s">
        <v>313</v>
      </c>
      <c r="P33" s="124" t="str">
        <f>G24</f>
        <v>#N/A</v>
      </c>
      <c r="S33" s="10" t="s">
        <v>313</v>
      </c>
      <c r="T33" s="124" t="str">
        <f t="shared" si="3"/>
        <v>#N/A</v>
      </c>
      <c r="V33" s="198" t="s">
        <v>314</v>
      </c>
      <c r="W33" s="199"/>
      <c r="X33" s="199"/>
      <c r="Y33" s="200">
        <f>G16</f>
        <v>0.6966843891</v>
      </c>
      <c r="AC33" s="171"/>
    </row>
    <row r="34" ht="14.25" customHeight="1">
      <c r="B34" s="77" t="s">
        <v>424</v>
      </c>
      <c r="C34" s="110">
        <f>C31*C32*weeks_yr</f>
        <v>3840</v>
      </c>
      <c r="F34" s="77" t="s">
        <v>322</v>
      </c>
      <c r="G34" s="158" t="str">
        <f>G32*curing_msrp</f>
        <v>#N/A</v>
      </c>
      <c r="J34" s="77" t="str">
        <f>"Annual depreciation (@ "&amp;Shop!furnace_depr&amp;" yrs)"</f>
        <v>Annual depreciation (@ 10 yrs)</v>
      </c>
      <c r="K34" s="151" t="str">
        <f>IFERROR(K33/Shop!furnace_depr+OFFSET(C136,furnace_index-1,)*K31*Shop!floor_rate,"N.A.")</f>
        <v>N.A.</v>
      </c>
      <c r="N34" s="10" t="s">
        <v>305</v>
      </c>
      <c r="O34" s="10" t="s">
        <v>318</v>
      </c>
      <c r="P34" s="124" t="str">
        <f>G23</f>
        <v>#N/A</v>
      </c>
      <c r="S34" s="10" t="s">
        <v>318</v>
      </c>
      <c r="T34" s="124" t="str">
        <f t="shared" si="3"/>
        <v>#N/A</v>
      </c>
      <c r="V34" s="198" t="s">
        <v>319</v>
      </c>
      <c r="W34" s="199"/>
      <c r="X34" s="199"/>
      <c r="Y34" s="202" t="str">
        <f>IF(furnace_sel="Shop",K5,K25)</f>
        <v>#N/A</v>
      </c>
    </row>
    <row r="35" ht="14.25" customHeight="1">
      <c r="B35" s="77" t="s">
        <v>425</v>
      </c>
      <c r="C35" s="190">
        <v>1.0</v>
      </c>
      <c r="F35" s="77" t="str">
        <f>"Annual depreciation (@ "&amp;Shop!dm_depr&amp;" yrs)"</f>
        <v>Annual depreciation (@ 5 yrs)</v>
      </c>
      <c r="G35" s="158" t="str">
        <f>G34/Shop!dm_depr+(1*0.8)*G32*Shop!floor_rate</f>
        <v>#N/A</v>
      </c>
      <c r="J35" s="77" t="s">
        <v>270</v>
      </c>
      <c r="K35" s="155" t="str">
        <f>IFERROR(K32/(IF(furnace_sel="Continuous",total_hours_yr,avail_hours_yr)*K31)*K34/part_req,"N.A.")</f>
        <v>N.A.</v>
      </c>
      <c r="N35" s="10" t="s">
        <v>305</v>
      </c>
      <c r="O35" s="10" t="s">
        <v>320</v>
      </c>
      <c r="P35" s="124">
        <f t="shared" ref="P35:P36" si="4">G25</f>
        <v>0.02777777778</v>
      </c>
      <c r="S35" s="10" t="s">
        <v>320</v>
      </c>
      <c r="T35" s="124" t="str">
        <f t="shared" si="3"/>
        <v>#N/A</v>
      </c>
      <c r="V35" s="198" t="s">
        <v>323</v>
      </c>
      <c r="W35" s="199"/>
      <c r="X35" s="199"/>
      <c r="Y35" s="203" t="str">
        <f>Y34/parts_job</f>
        <v>#N/A</v>
      </c>
    </row>
    <row r="36" ht="14.25" customHeight="1">
      <c r="B36" s="77" t="s">
        <v>426</v>
      </c>
      <c r="C36" s="110">
        <f>avail_hours_yr*Shop!uptime</f>
        <v>3840</v>
      </c>
      <c r="F36" s="77" t="s">
        <v>286</v>
      </c>
      <c r="G36" s="159" t="str">
        <f>G33/(total_hours_yr*G32)*G35/part_req</f>
        <v>#N/A</v>
      </c>
      <c r="J36" s="77" t="s">
        <v>274</v>
      </c>
      <c r="K36" s="159">
        <f>IF(furnace_sel="Continuous",Shop!furnace_power_cons*total_hours_yr/part_req,0)</f>
        <v>0</v>
      </c>
      <c r="N36" s="10" t="s">
        <v>305</v>
      </c>
      <c r="O36" s="10" t="s">
        <v>324</v>
      </c>
      <c r="P36" s="124">
        <f t="shared" si="4"/>
        <v>0.006861111111</v>
      </c>
      <c r="S36" s="10" t="s">
        <v>324</v>
      </c>
      <c r="T36" s="124" t="str">
        <f t="shared" si="3"/>
        <v>#N/A</v>
      </c>
      <c r="V36" s="198" t="s">
        <v>326</v>
      </c>
      <c r="W36" s="199"/>
      <c r="X36" s="199"/>
      <c r="Y36" s="202">
        <f>Y37/weeks_yr</f>
        <v>6238.270833</v>
      </c>
    </row>
    <row r="37" ht="14.25" customHeight="1">
      <c r="B37" s="77" t="s">
        <v>336</v>
      </c>
      <c r="C37" s="110">
        <f>ROUND(good_parts_job/print_time_trn*Shop!uptime_hours_yr,0)</f>
        <v>299437</v>
      </c>
      <c r="F37" s="77" t="s">
        <v>277</v>
      </c>
      <c r="G37" s="159" t="str">
        <f>(Shop!xlink_trnaround/G29*labor_rate*total_builds_yr)/part_req</f>
        <v>#N/A</v>
      </c>
      <c r="J37" s="77" t="s">
        <v>277</v>
      </c>
      <c r="K37" s="155" t="str">
        <f>IFERROR(labor_rate*(K25/K26*2)/K25,"N.A.")</f>
        <v>N.A.</v>
      </c>
      <c r="N37" s="79" t="s">
        <v>327</v>
      </c>
      <c r="O37" s="79" t="s">
        <v>318</v>
      </c>
      <c r="P37" s="205" t="str">
        <f t="shared" ref="P37:P39" si="5">G36</f>
        <v>#N/A</v>
      </c>
      <c r="S37" s="10" t="s">
        <v>328</v>
      </c>
      <c r="T37" s="124" t="str">
        <f t="shared" si="3"/>
        <v>#N/A</v>
      </c>
      <c r="V37" s="198" t="s">
        <v>330</v>
      </c>
      <c r="W37" s="199"/>
      <c r="X37" s="199"/>
      <c r="Y37" s="202">
        <f>part_req</f>
        <v>299437</v>
      </c>
    </row>
    <row r="38" ht="14.25" customHeight="1">
      <c r="B38" s="136" t="s">
        <v>342</v>
      </c>
      <c r="C38" s="169">
        <f>part_capacity</f>
        <v>299437</v>
      </c>
      <c r="F38" s="136" t="s">
        <v>295</v>
      </c>
      <c r="G38" s="168" t="str">
        <f>power_rate*2.97*G33/part_req</f>
        <v>#N/A</v>
      </c>
      <c r="J38" s="136" t="s">
        <v>281</v>
      </c>
      <c r="K38" s="168" t="str">
        <f>IF(furnace_sel="Continuous",Shop!furnace_gas_cons*total_hours_yr,(Shop!argon_rate*Shop!furnace_gas_cons+power_rate*Shop!furnace_power_cons)*(K27-K25/K26*2)*K30)/part_req</f>
        <v>#VALUE!</v>
      </c>
      <c r="N38" s="10" t="s">
        <v>327</v>
      </c>
      <c r="O38" s="10" t="s">
        <v>320</v>
      </c>
      <c r="P38" s="124" t="str">
        <f t="shared" si="5"/>
        <v>#N/A</v>
      </c>
      <c r="S38" s="79" t="s">
        <v>307</v>
      </c>
      <c r="T38" s="207" t="str">
        <f>SUM(T32:T37)</f>
        <v>#N/A</v>
      </c>
      <c r="V38" s="198" t="s">
        <v>332</v>
      </c>
      <c r="W38" s="199"/>
      <c r="X38" s="199"/>
      <c r="Y38" s="208" t="str">
        <f>P11</f>
        <v>#N/A</v>
      </c>
    </row>
    <row r="39" ht="14.25" customHeight="1">
      <c r="G39" s="10"/>
      <c r="K39" s="10"/>
      <c r="N39" s="184" t="s">
        <v>327</v>
      </c>
      <c r="O39" s="184" t="s">
        <v>324</v>
      </c>
      <c r="P39" s="206" t="str">
        <f t="shared" si="5"/>
        <v>#N/A</v>
      </c>
      <c r="V39" s="198" t="s">
        <v>335</v>
      </c>
      <c r="W39" s="199"/>
      <c r="X39" s="199"/>
      <c r="Y39" s="208" t="str">
        <f>P13</f>
        <v>#N/A</v>
      </c>
    </row>
    <row r="40" ht="14.25" customHeight="1">
      <c r="A40" s="10" t="s">
        <v>45</v>
      </c>
      <c r="B40" s="86" t="s">
        <v>344</v>
      </c>
      <c r="C40" s="87"/>
      <c r="E40" s="10" t="s">
        <v>45</v>
      </c>
      <c r="F40" s="86" t="s">
        <v>340</v>
      </c>
      <c r="G40" s="87"/>
      <c r="I40" s="10" t="s">
        <v>45</v>
      </c>
      <c r="J40" s="86" t="s">
        <v>427</v>
      </c>
      <c r="K40" s="87"/>
      <c r="N40" s="10" t="s">
        <v>333</v>
      </c>
      <c r="O40" s="10" t="s">
        <v>318</v>
      </c>
      <c r="P40" s="124" t="str">
        <f t="shared" ref="P40:P42" si="6">G48</f>
        <v>#N/A</v>
      </c>
      <c r="R40" s="10" t="s">
        <v>307</v>
      </c>
      <c r="S40" s="10" t="s">
        <v>308</v>
      </c>
      <c r="T40" s="124" t="str">
        <f>P32</f>
        <v>#N/A</v>
      </c>
      <c r="U40" s="209"/>
      <c r="V40" s="198" t="s">
        <v>337</v>
      </c>
      <c r="W40" s="199"/>
      <c r="X40" s="199"/>
      <c r="Y40" s="208" t="str">
        <f>P17</f>
        <v>#N/A</v>
      </c>
    </row>
    <row r="41" ht="14.25" customHeight="1">
      <c r="B41" s="217" t="s">
        <v>346</v>
      </c>
      <c r="C41" s="167" t="s">
        <v>428</v>
      </c>
      <c r="F41" s="91" t="s">
        <v>343</v>
      </c>
      <c r="G41" s="216">
        <f>C51</f>
        <v>60</v>
      </c>
      <c r="J41" s="77" t="s">
        <v>86</v>
      </c>
      <c r="K41" s="236">
        <v>45.0</v>
      </c>
      <c r="L41" s="10" t="s">
        <v>87</v>
      </c>
      <c r="N41" s="10" t="s">
        <v>333</v>
      </c>
      <c r="O41" s="10" t="s">
        <v>320</v>
      </c>
      <c r="P41" s="124">
        <f t="shared" si="6"/>
        <v>0.3611111111</v>
      </c>
      <c r="S41" s="10" t="s">
        <v>305</v>
      </c>
      <c r="T41" s="124" t="str">
        <f t="shared" ref="T41:T45" si="7">SUMIF($N$33:$N$50,S41,$P$33:$P$50)</f>
        <v>#N/A</v>
      </c>
      <c r="V41" s="198" t="s">
        <v>341</v>
      </c>
      <c r="W41" s="199"/>
      <c r="X41" s="199"/>
      <c r="Y41" s="208" t="str">
        <f>P19</f>
        <v>#N/A</v>
      </c>
    </row>
    <row r="42" ht="14.25" customHeight="1">
      <c r="B42" s="77" t="s">
        <v>429</v>
      </c>
      <c r="C42" s="159">
        <f t="array" ref="C42">INDEX(C154:C163,VLOOKUP(C41,B141:F151,5,0))</f>
        <v>82</v>
      </c>
      <c r="D42" s="10" t="s">
        <v>349</v>
      </c>
      <c r="F42" s="77" t="str">
        <f>"Depowder time + "&amp;Shop!depowder_trnaround&amp;"hrs turnaround"</f>
        <v>Depowder time + 0.5hrs turnaround</v>
      </c>
      <c r="G42" s="108">
        <f>parts_job/G41+Shop!depowder_trnaround</f>
        <v>6.5</v>
      </c>
      <c r="H42" s="10" t="s">
        <v>81</v>
      </c>
      <c r="J42" s="77" t="str">
        <f>"Blend time + "&amp;Shop!powder_trnaround&amp;"hrs turnaround"</f>
        <v>Blend time + 0.25hrs turnaround</v>
      </c>
      <c r="K42" s="274">
        <f>1+Shop!powder_trnaround</f>
        <v>1.25</v>
      </c>
      <c r="L42" s="10" t="s">
        <v>81</v>
      </c>
      <c r="N42" s="10" t="s">
        <v>333</v>
      </c>
      <c r="O42" s="10" t="s">
        <v>324</v>
      </c>
      <c r="P42" s="124">
        <f t="shared" si="6"/>
        <v>0.0007366666667</v>
      </c>
      <c r="S42" s="10" t="s">
        <v>327</v>
      </c>
      <c r="T42" s="124" t="str">
        <f t="shared" si="7"/>
        <v>#N/A</v>
      </c>
      <c r="V42" s="198" t="s">
        <v>248</v>
      </c>
      <c r="W42" s="199"/>
      <c r="X42" s="199"/>
      <c r="Y42" s="210">
        <f>T14</f>
        <v>1.000000591</v>
      </c>
    </row>
    <row r="43" ht="14.25" customHeight="1">
      <c r="B43" s="77" t="s">
        <v>129</v>
      </c>
      <c r="C43" s="221">
        <f>VLOOKUP(B43,Inputs!$B$6:$M$311,Inputs!C$1,0)</f>
        <v>300</v>
      </c>
      <c r="D43" s="10" t="s">
        <v>353</v>
      </c>
      <c r="F43" s="77" t="s">
        <v>252</v>
      </c>
      <c r="G43" s="119">
        <f>ROUNDDOWN(Shop!uptime_hours_yr/G42,0)</f>
        <v>590</v>
      </c>
      <c r="J43" s="77" t="s">
        <v>298</v>
      </c>
      <c r="K43" s="119">
        <f>K41*Shop!uptime_hours_yr/K42</f>
        <v>138240</v>
      </c>
      <c r="L43" s="10" t="s">
        <v>87</v>
      </c>
      <c r="N43" s="79" t="s">
        <v>338</v>
      </c>
      <c r="O43" s="79" t="s">
        <v>313</v>
      </c>
      <c r="P43" s="205" t="str">
        <f>IF(C15="No",0,IF(furnace_sel="Shop",K15,))</f>
        <v>N.A.</v>
      </c>
      <c r="S43" s="10" t="s">
        <v>333</v>
      </c>
      <c r="T43" s="124" t="str">
        <f t="shared" si="7"/>
        <v>#N/A</v>
      </c>
      <c r="V43" s="213" t="s">
        <v>261</v>
      </c>
      <c r="W43" s="214"/>
      <c r="X43" s="214"/>
      <c r="Y43" s="215" t="str">
        <f>T17</f>
        <v>#VALUE!</v>
      </c>
    </row>
    <row r="44" ht="14.25" customHeight="1">
      <c r="B44" s="77" t="s">
        <v>132</v>
      </c>
      <c r="C44" s="221">
        <f>VLOOKUP(B44,Inputs!$B$6:$M$311,Inputs!C$1,0)</f>
        <v>695</v>
      </c>
      <c r="F44" s="77" t="s">
        <v>347</v>
      </c>
      <c r="G44" s="119">
        <f>ROUNDUP(total_builds_yr/G43,0)</f>
        <v>2</v>
      </c>
      <c r="J44" s="77" t="s">
        <v>293</v>
      </c>
      <c r="K44" s="119">
        <f>(build_vol*Shop!bed_density*powder_ratio*Shop!density_selected-G7)</f>
        <v>16.17792535</v>
      </c>
      <c r="L44" s="10" t="s">
        <v>87</v>
      </c>
      <c r="N44" s="10" t="s">
        <v>338</v>
      </c>
      <c r="O44" s="10" t="s">
        <v>318</v>
      </c>
      <c r="P44" s="124" t="str">
        <f>IF(C15="No",0,IF(furnace_sel="Shop",K16,K35))</f>
        <v>N.A.</v>
      </c>
      <c r="S44" s="10" t="s">
        <v>338</v>
      </c>
      <c r="T44" s="124" t="str">
        <f t="shared" si="7"/>
        <v>#N/A</v>
      </c>
    </row>
    <row r="45" ht="14.25" customHeight="1">
      <c r="B45" s="77" t="s">
        <v>133</v>
      </c>
      <c r="C45" s="221">
        <f>VLOOKUP(B45,Inputs!$B$6:$M$311,Inputs!C$1,0)</f>
        <v>231</v>
      </c>
      <c r="F45" s="77" t="s">
        <v>350</v>
      </c>
      <c r="G45" s="119">
        <f>total_builds_yr*G42</f>
        <v>5406.501389</v>
      </c>
      <c r="H45" s="10" t="s">
        <v>81</v>
      </c>
      <c r="J45" s="77" t="s">
        <v>300</v>
      </c>
      <c r="K45" s="119">
        <f>ROUNDUP(total_builds_yr*K44/K43,0)</f>
        <v>1</v>
      </c>
      <c r="N45" s="10" t="s">
        <v>338</v>
      </c>
      <c r="O45" s="10" t="s">
        <v>320</v>
      </c>
      <c r="P45" s="124" t="str">
        <f>IF(C15="No",0,IF(furnace_sel="Shop",K17,K37))</f>
        <v>N.A.</v>
      </c>
      <c r="S45" s="10" t="s">
        <v>345</v>
      </c>
      <c r="T45" s="124" t="str">
        <f t="shared" si="7"/>
        <v>#N/A</v>
      </c>
    </row>
    <row r="46" ht="14.25" customHeight="1">
      <c r="B46" s="77" t="s">
        <v>134</v>
      </c>
      <c r="C46" s="221">
        <f>VLOOKUP(B46,Inputs!$B$6:$M$311,Inputs!C$1,0)</f>
        <v>81</v>
      </c>
      <c r="F46" s="77" t="s">
        <v>352</v>
      </c>
      <c r="G46" s="158" t="str">
        <f>G44*(depowder_msrp+Shop!vacuum_msrp)</f>
        <v>#N/A</v>
      </c>
      <c r="J46" s="77" t="s">
        <v>302</v>
      </c>
      <c r="K46" s="119">
        <f>total_builds_yr*K44/K41*K42</f>
        <v>373.7862216</v>
      </c>
      <c r="L46" s="10" t="s">
        <v>81</v>
      </c>
      <c r="N46" s="10" t="s">
        <v>338</v>
      </c>
      <c r="O46" s="10" t="s">
        <v>324</v>
      </c>
      <c r="P46" s="124" t="str">
        <f>IF(C15="No",0,IF(furnace_sel="Shop",K18,K38))</f>
        <v>N.A.</v>
      </c>
      <c r="S46" s="79" t="s">
        <v>307</v>
      </c>
      <c r="T46" s="207" t="str">
        <f>SUM(T40:T45)</f>
        <v>#N/A</v>
      </c>
    </row>
    <row r="47" ht="14.25" customHeight="1">
      <c r="B47" s="136" t="s">
        <v>354</v>
      </c>
      <c r="C47" s="148" t="s">
        <v>355</v>
      </c>
      <c r="F47" s="77" t="str">
        <f>"Annual depreciation (@ "&amp;Shop!dm_depr&amp;" yrs)"</f>
        <v>Annual depreciation (@ 5 yrs)</v>
      </c>
      <c r="G47" s="158" t="str">
        <f>G46/Shop!dm_depr+(1.6*1+0.56*0.57)*G44*Shop!floor_rate</f>
        <v>#N/A</v>
      </c>
      <c r="J47" s="77" t="s">
        <v>430</v>
      </c>
      <c r="K47" s="158" t="str">
        <f>Shop!blender_msrp*K45</f>
        <v>#N/A</v>
      </c>
      <c r="N47" s="184" t="s">
        <v>338</v>
      </c>
      <c r="O47" s="184" t="s">
        <v>328</v>
      </c>
      <c r="P47" s="124" t="str">
        <f>IF(C15="No",0,IF(furnace_sel="Shop",dm_furnace_hw_consumables/K5,0))</f>
        <v>#N/A</v>
      </c>
    </row>
    <row r="48" ht="14.25" customHeight="1">
      <c r="F48" s="77" t="s">
        <v>286</v>
      </c>
      <c r="G48" s="159" t="str">
        <f>G45/(avail_hours_yr*G44)*G47/part_req</f>
        <v>#N/A</v>
      </c>
      <c r="J48" s="77" t="str">
        <f>"Annual depreciation (@ "&amp;Shop!dm_depr&amp;" yrs)"</f>
        <v>Annual depreciation (@ 5 yrs)</v>
      </c>
      <c r="K48" s="158" t="str">
        <f>K47/Shop!dm_depr+(0.8*0.8)*K45*Shop!floor_rate</f>
        <v>#N/A</v>
      </c>
      <c r="N48" s="10" t="s">
        <v>345</v>
      </c>
      <c r="O48" s="10" t="s">
        <v>318</v>
      </c>
      <c r="P48" s="205" t="str">
        <f t="shared" ref="P48:P50" si="8">K49</f>
        <v>#N/A</v>
      </c>
    </row>
    <row r="49" ht="14.25" customHeight="1">
      <c r="A49" s="10" t="s">
        <v>45</v>
      </c>
      <c r="B49" s="86" t="s">
        <v>356</v>
      </c>
      <c r="C49" s="87"/>
      <c r="F49" s="77" t="s">
        <v>277</v>
      </c>
      <c r="G49" s="159">
        <f>G42*labor_rate*total_builds_yr/part_req</f>
        <v>0.3611111111</v>
      </c>
      <c r="J49" s="77" t="s">
        <v>286</v>
      </c>
      <c r="K49" s="159" t="str">
        <f>K46/(avail_hours_yr*K45)*K48/part_req</f>
        <v>#N/A</v>
      </c>
      <c r="N49" s="10" t="s">
        <v>345</v>
      </c>
      <c r="O49" s="10" t="s">
        <v>320</v>
      </c>
      <c r="P49" s="124">
        <f t="shared" si="8"/>
        <v>0.004993186835</v>
      </c>
    </row>
    <row r="50" ht="14.25" customHeight="1">
      <c r="B50" s="77" t="s">
        <v>357</v>
      </c>
      <c r="C50" s="223">
        <v>20.0</v>
      </c>
      <c r="D50" s="10" t="s">
        <v>358</v>
      </c>
      <c r="F50" s="136" t="s">
        <v>295</v>
      </c>
      <c r="G50" s="168">
        <f>power_rate*0.34*G45/part_req</f>
        <v>0.0007366666667</v>
      </c>
      <c r="J50" s="77" t="s">
        <v>277</v>
      </c>
      <c r="K50" s="159">
        <f>total_builds_yr*K44/K41*Shop!powder_trnaround*labor_rate/part_req</f>
        <v>0.004993186835</v>
      </c>
      <c r="N50" s="10" t="s">
        <v>345</v>
      </c>
      <c r="O50" s="10" t="s">
        <v>324</v>
      </c>
      <c r="P50" s="124">
        <f t="shared" si="8"/>
        <v>0.00007909207947</v>
      </c>
    </row>
    <row r="51" ht="14.25" customHeight="1">
      <c r="B51" s="224" t="s">
        <v>359</v>
      </c>
      <c r="C51" s="201">
        <v>60.0</v>
      </c>
      <c r="J51" s="136" t="s">
        <v>281</v>
      </c>
      <c r="K51" s="168">
        <f>0.66*power_rate*(total_builds_yr*K44/K41)/part_req</f>
        <v>0.00007909207947</v>
      </c>
    </row>
    <row r="52" ht="14.25" customHeight="1">
      <c r="B52" s="224" t="s">
        <v>243</v>
      </c>
      <c r="C52" s="169">
        <v>240.0</v>
      </c>
      <c r="O52" s="275"/>
      <c r="Q52" s="121"/>
      <c r="U52" s="121"/>
      <c r="V52" s="189"/>
      <c r="W52" s="121"/>
    </row>
    <row r="53" ht="14.25" customHeight="1">
      <c r="B53" s="224" t="s">
        <v>431</v>
      </c>
      <c r="C53" s="201">
        <v>5.0</v>
      </c>
      <c r="D53" s="10" t="s">
        <v>361</v>
      </c>
      <c r="G53" s="76"/>
      <c r="N53" s="228"/>
      <c r="O53" s="121"/>
      <c r="P53" s="276"/>
      <c r="Q53" s="121"/>
      <c r="T53" s="222"/>
      <c r="U53" s="121"/>
      <c r="V53" s="189"/>
      <c r="W53" s="121"/>
    </row>
    <row r="54" ht="14.25" customHeight="1">
      <c r="B54" s="224" t="s">
        <v>432</v>
      </c>
      <c r="C54" s="201">
        <v>10.0</v>
      </c>
      <c r="D54" s="10" t="s">
        <v>361</v>
      </c>
    </row>
    <row r="55" ht="14.25" customHeight="1">
      <c r="B55" s="77" t="s">
        <v>433</v>
      </c>
      <c r="C55" s="226">
        <v>0.001</v>
      </c>
      <c r="D55" s="10" t="s">
        <v>353</v>
      </c>
    </row>
    <row r="56" ht="14.25" customHeight="1">
      <c r="B56" s="77" t="s">
        <v>434</v>
      </c>
      <c r="C56" s="226">
        <v>0.0025</v>
      </c>
      <c r="D56" s="10" t="s">
        <v>353</v>
      </c>
    </row>
    <row r="57" ht="14.25" customHeight="1">
      <c r="B57" s="77" t="s">
        <v>367</v>
      </c>
      <c r="C57" s="226">
        <v>0.12</v>
      </c>
      <c r="D57" s="10" t="s">
        <v>368</v>
      </c>
    </row>
    <row r="58" ht="14.25" customHeight="1">
      <c r="B58" s="61" t="s">
        <v>369</v>
      </c>
      <c r="C58" s="227">
        <v>160.0</v>
      </c>
      <c r="D58" s="10" t="s">
        <v>370</v>
      </c>
      <c r="Q58" s="171"/>
      <c r="U58" s="171"/>
      <c r="V58" s="189"/>
      <c r="W58" s="121"/>
    </row>
    <row r="59" ht="14.25" customHeight="1" outlineLevel="1">
      <c r="O59" s="275"/>
      <c r="R59" s="171"/>
      <c r="S59" s="171"/>
      <c r="T59" s="171"/>
      <c r="U59" s="121"/>
      <c r="V59" s="189"/>
      <c r="W59" s="121"/>
    </row>
    <row r="60" ht="14.25" customHeight="1" outlineLevel="1">
      <c r="A60" s="10" t="s">
        <v>45</v>
      </c>
      <c r="B60" s="91" t="s">
        <v>342</v>
      </c>
      <c r="C60" s="93">
        <f>IF(C18="No",IF(C38&lt;&gt;"",C38,part_capacity),MIN(part_capacity,IF(furnace_sel="Shop",K9,K29)*good_parts_job))</f>
        <v>299437</v>
      </c>
      <c r="N60" s="228"/>
      <c r="O60" s="121"/>
      <c r="P60" s="276"/>
      <c r="Q60" s="121"/>
      <c r="R60" s="121"/>
      <c r="S60" s="121"/>
      <c r="T60" s="222"/>
      <c r="U60" s="121"/>
      <c r="V60" s="189"/>
      <c r="W60" s="121"/>
    </row>
    <row r="61" ht="14.25" customHeight="1" outlineLevel="1">
      <c r="B61" s="77" t="s">
        <v>47</v>
      </c>
      <c r="C61" s="230">
        <f>VLOOKUP($B61,Inputs!$B$6:$M$309,Inputs!C$1,0)</f>
        <v>1.167</v>
      </c>
      <c r="N61" s="228"/>
      <c r="O61" s="121"/>
      <c r="P61" s="276"/>
      <c r="Q61" s="121"/>
      <c r="R61" s="121"/>
      <c r="T61" s="222"/>
      <c r="U61" s="121"/>
      <c r="V61" s="189"/>
      <c r="W61" s="121"/>
    </row>
    <row r="62" ht="14.25" customHeight="1" outlineLevel="1">
      <c r="B62" s="77" t="s">
        <v>48</v>
      </c>
      <c r="C62" s="230">
        <f>VLOOKUP($B62,Inputs!$B$6:$M$309,Inputs!C$1,0)</f>
        <v>1.174</v>
      </c>
      <c r="N62" s="228"/>
      <c r="O62" s="121"/>
      <c r="P62" s="276"/>
      <c r="Q62" s="121"/>
      <c r="R62" s="121"/>
      <c r="S62" s="121"/>
      <c r="T62" s="222"/>
      <c r="U62" s="121"/>
      <c r="V62" s="76"/>
    </row>
    <row r="63" ht="14.25" customHeight="1" outlineLevel="1">
      <c r="B63" s="77" t="s">
        <v>49</v>
      </c>
      <c r="C63" s="230">
        <f>VLOOKUP($B63,Inputs!$B$6:$M$309,Inputs!C$1,0)</f>
        <v>1.21</v>
      </c>
      <c r="N63" s="228"/>
      <c r="O63" s="121"/>
      <c r="P63" s="276"/>
      <c r="Q63" s="121"/>
      <c r="R63" s="121"/>
      <c r="S63" s="121"/>
      <c r="T63" s="222"/>
      <c r="U63" s="121"/>
      <c r="V63" s="76"/>
    </row>
    <row r="64" ht="14.25" customHeight="1" outlineLevel="1">
      <c r="B64" s="77" t="s">
        <v>51</v>
      </c>
      <c r="C64" s="232">
        <f>VLOOKUP($B64,Inputs!$B$6:$M$309,Inputs!C$1,0)</f>
        <v>26</v>
      </c>
      <c r="D64" s="10" t="s">
        <v>52</v>
      </c>
      <c r="N64" s="228"/>
      <c r="O64" s="121"/>
      <c r="P64" s="276"/>
      <c r="Q64" s="121"/>
      <c r="R64" s="121"/>
      <c r="T64" s="222"/>
      <c r="W64" s="76"/>
    </row>
    <row r="65" ht="14.25" customHeight="1" outlineLevel="1">
      <c r="B65" s="77" t="s">
        <v>373</v>
      </c>
      <c r="C65" s="193">
        <f>part_x*Shop!x_scale</f>
        <v>17.505</v>
      </c>
      <c r="D65" s="10" t="s">
        <v>55</v>
      </c>
      <c r="N65" s="228"/>
      <c r="O65" s="121"/>
      <c r="P65" s="276"/>
      <c r="Q65" s="121"/>
      <c r="R65" s="121"/>
      <c r="S65" s="121"/>
      <c r="T65" s="222"/>
      <c r="V65" s="228"/>
      <c r="W65" s="121"/>
    </row>
    <row r="66" ht="14.25" customHeight="1" outlineLevel="1">
      <c r="B66" s="77" t="s">
        <v>374</v>
      </c>
      <c r="C66" s="193">
        <f>part_y*Shop!y_scale</f>
        <v>18.784</v>
      </c>
      <c r="D66" s="10" t="s">
        <v>55</v>
      </c>
      <c r="N66" s="228"/>
      <c r="O66" s="121"/>
      <c r="P66" s="276"/>
      <c r="R66" s="121"/>
      <c r="T66" s="222"/>
      <c r="V66" s="228"/>
      <c r="W66" s="121"/>
    </row>
    <row r="67" ht="14.25" customHeight="1" outlineLevel="1">
      <c r="B67" s="77" t="s">
        <v>375</v>
      </c>
      <c r="C67" s="193">
        <f>part_z*Shop!z_scale</f>
        <v>19.36</v>
      </c>
      <c r="D67" s="10" t="s">
        <v>55</v>
      </c>
      <c r="J67" s="76"/>
      <c r="N67" s="228"/>
      <c r="O67" s="121"/>
      <c r="P67" s="276"/>
      <c r="R67" s="121"/>
      <c r="S67" s="121"/>
      <c r="T67" s="222"/>
      <c r="V67" s="228"/>
      <c r="W67" s="121"/>
    </row>
    <row r="68" ht="14.25" customHeight="1" outlineLevel="1">
      <c r="B68" s="77" t="s">
        <v>376</v>
      </c>
      <c r="C68" s="233">
        <f>part_vol*Shop!x_scale*Shop!y_scale*Shop!z_scale</f>
        <v>6365.837491</v>
      </c>
      <c r="D68" s="10" t="s">
        <v>223</v>
      </c>
      <c r="J68" s="76"/>
      <c r="N68" s="228"/>
      <c r="O68" s="121"/>
      <c r="P68" s="276"/>
      <c r="R68" s="76"/>
      <c r="T68" s="222"/>
      <c r="V68" s="228"/>
      <c r="W68" s="121"/>
    </row>
    <row r="69" ht="14.25" customHeight="1" outlineLevel="1">
      <c r="B69" s="77" t="s">
        <v>377</v>
      </c>
      <c r="C69" s="233">
        <f>IF(override_nesting="Yes",IF(OR(C22=0,C23=0),C19,C22),C19)</f>
        <v>360</v>
      </c>
      <c r="G69" s="76"/>
      <c r="N69" s="228"/>
      <c r="O69" s="121"/>
      <c r="P69" s="276"/>
      <c r="S69" s="121"/>
      <c r="T69" s="222"/>
      <c r="V69" s="228"/>
      <c r="W69" s="121"/>
    </row>
    <row r="70" ht="14.25" customHeight="1" outlineLevel="1">
      <c r="B70" s="77" t="s">
        <v>58</v>
      </c>
      <c r="C70" s="230">
        <f>VLOOKUP($B70,Inputs!$B$6:$M$309,Inputs!C$1,0)</f>
        <v>0.56</v>
      </c>
      <c r="G70" s="76"/>
      <c r="J70" s="76"/>
      <c r="N70" s="228"/>
      <c r="O70" s="121"/>
      <c r="P70" s="276"/>
      <c r="R70" s="228"/>
      <c r="T70" s="222"/>
      <c r="V70" s="228"/>
      <c r="W70" s="121"/>
    </row>
    <row r="71" ht="14.25" customHeight="1" outlineLevel="1">
      <c r="B71" s="77" t="s">
        <v>54</v>
      </c>
      <c r="C71" s="234">
        <f>VLOOKUP($B71,Inputs!$B$6:$M$309,Inputs!C$1,0)</f>
        <v>350</v>
      </c>
      <c r="D71" s="10" t="s">
        <v>55</v>
      </c>
      <c r="G71" s="76"/>
      <c r="R71" s="228"/>
      <c r="S71" s="121"/>
      <c r="T71" s="222"/>
      <c r="V71" s="228"/>
      <c r="W71" s="121"/>
    </row>
    <row r="72" ht="14.25" customHeight="1" outlineLevel="1">
      <c r="B72" s="77" t="s">
        <v>56</v>
      </c>
      <c r="C72" s="234">
        <f>VLOOKUP($B72,Inputs!$B$6:$M$309,Inputs!C$1,0)</f>
        <v>220</v>
      </c>
      <c r="D72" s="10" t="s">
        <v>55</v>
      </c>
      <c r="G72" s="76"/>
      <c r="J72" s="76"/>
      <c r="R72" s="228"/>
      <c r="S72" s="121"/>
      <c r="V72" s="228"/>
      <c r="W72" s="121"/>
    </row>
    <row r="73" ht="14.25" customHeight="1" outlineLevel="1">
      <c r="B73" s="77" t="s">
        <v>57</v>
      </c>
      <c r="C73" s="234">
        <f>VLOOKUP($B73,Inputs!$B$6:$M$309,Inputs!C$1,0)</f>
        <v>50</v>
      </c>
      <c r="D73" s="10" t="s">
        <v>55</v>
      </c>
      <c r="G73" s="76"/>
      <c r="J73" s="76"/>
      <c r="O73" s="231"/>
      <c r="R73" s="228"/>
      <c r="S73" s="121"/>
      <c r="V73" s="228"/>
      <c r="W73" s="121"/>
    </row>
    <row r="74" ht="14.25" customHeight="1" outlineLevel="1">
      <c r="B74" s="77" t="s">
        <v>378</v>
      </c>
      <c r="C74" s="119">
        <f>IF(override_nesting="Yes",IF(OR(C22=0,C23=0),C20,C23),C20)</f>
        <v>42.72</v>
      </c>
      <c r="D74" s="10" t="s">
        <v>55</v>
      </c>
      <c r="G74" s="76"/>
      <c r="N74" s="228"/>
      <c r="O74" s="231"/>
      <c r="R74" s="228"/>
      <c r="S74" s="121"/>
      <c r="V74" s="228"/>
      <c r="W74" s="121"/>
    </row>
    <row r="75" ht="14.25" customHeight="1" outlineLevel="1">
      <c r="B75" s="77" t="s">
        <v>379</v>
      </c>
      <c r="C75" s="119">
        <f>Shop!build_x*Shop!build_y*build_height</f>
        <v>3289440</v>
      </c>
      <c r="D75" s="10" t="s">
        <v>223</v>
      </c>
      <c r="G75" s="76"/>
      <c r="N75" s="228"/>
      <c r="O75" s="231"/>
      <c r="R75" s="228"/>
      <c r="S75" s="121"/>
      <c r="V75" s="228"/>
      <c r="W75" s="121"/>
    </row>
    <row r="76" ht="14.25" customHeight="1" outlineLevel="1">
      <c r="B76" s="77" t="s">
        <v>99</v>
      </c>
      <c r="C76" s="237">
        <f>VLOOKUP($B76,Inputs!$B$6:$M$309,Inputs!C$1,0)</f>
        <v>0.5</v>
      </c>
      <c r="D76" s="10" t="s">
        <v>81</v>
      </c>
      <c r="G76" s="76"/>
      <c r="N76" s="228"/>
      <c r="O76" s="231"/>
      <c r="R76" s="228"/>
      <c r="S76" s="121"/>
      <c r="V76" s="228"/>
      <c r="W76" s="121"/>
    </row>
    <row r="77" ht="14.25" customHeight="1" outlineLevel="1">
      <c r="B77" s="77" t="s">
        <v>435</v>
      </c>
      <c r="C77" s="237" t="str">
        <f>VLOOKUP($B77,Inputs!$B$6:$M$309,Inputs!C$1,0)</f>
        <v>#N/A</v>
      </c>
      <c r="D77" s="10" t="s">
        <v>81</v>
      </c>
      <c r="G77" s="76"/>
      <c r="N77" s="228"/>
      <c r="O77" s="231"/>
      <c r="R77" s="228"/>
      <c r="S77" s="121"/>
      <c r="V77" s="228"/>
      <c r="W77" s="121"/>
    </row>
    <row r="78" ht="14.25" customHeight="1" outlineLevel="1">
      <c r="B78" s="77" t="s">
        <v>101</v>
      </c>
      <c r="C78" s="237">
        <f>VLOOKUP($B78,Inputs!$B$6:$M$309,Inputs!C$1,0)</f>
        <v>0.5</v>
      </c>
      <c r="D78" s="10" t="s">
        <v>81</v>
      </c>
      <c r="G78" s="76"/>
      <c r="N78" s="228"/>
      <c r="O78" s="231"/>
      <c r="R78" s="228"/>
      <c r="S78" s="121"/>
      <c r="V78" s="228"/>
      <c r="W78" s="121"/>
    </row>
    <row r="79" ht="14.25" customHeight="1" outlineLevel="1">
      <c r="B79" s="77" t="s">
        <v>102</v>
      </c>
      <c r="C79" s="237">
        <f>VLOOKUP($B79,Inputs!$B$6:$M$309,Inputs!C$1,0)</f>
        <v>0.25</v>
      </c>
      <c r="D79" s="10" t="s">
        <v>81</v>
      </c>
      <c r="G79" s="76"/>
      <c r="N79" s="228"/>
      <c r="O79" s="231"/>
      <c r="R79" s="228"/>
      <c r="S79" s="121"/>
      <c r="V79" s="228"/>
      <c r="W79" s="121"/>
    </row>
    <row r="80" ht="14.25" customHeight="1" outlineLevel="1">
      <c r="B80" s="77" t="s">
        <v>59</v>
      </c>
      <c r="C80" s="232">
        <f>VLOOKUP($B80,Inputs!$B$6:$M$309,Inputs!C$1,0)</f>
        <v>1.8</v>
      </c>
      <c r="G80" s="76"/>
      <c r="N80" s="228"/>
      <c r="O80" s="231"/>
      <c r="R80" s="228"/>
      <c r="S80" s="121"/>
      <c r="V80" s="228"/>
      <c r="W80" s="121"/>
    </row>
    <row r="81" ht="14.25" customHeight="1" outlineLevel="1">
      <c r="B81" s="77" t="s">
        <v>60</v>
      </c>
      <c r="C81" s="230">
        <f>VLOOKUP($B81,Inputs!$B$6:$M$309,Inputs!C$1,0)</f>
        <v>0.005</v>
      </c>
      <c r="G81" s="76"/>
      <c r="N81" s="228"/>
      <c r="O81" s="231"/>
      <c r="R81" s="228"/>
      <c r="S81" s="121"/>
      <c r="V81" s="228"/>
      <c r="W81" s="121"/>
    </row>
    <row r="82" ht="14.25" customHeight="1" outlineLevel="1">
      <c r="B82" s="77" t="s">
        <v>436</v>
      </c>
      <c r="C82" s="230" t="str">
        <f>VLOOKUP($B82,Inputs!$B$6:$M$309,Inputs!C$1,0)</f>
        <v>#N/A</v>
      </c>
      <c r="G82" s="76"/>
      <c r="N82" s="228"/>
      <c r="O82" s="231"/>
      <c r="R82" s="228"/>
      <c r="S82" s="121"/>
      <c r="V82" s="228"/>
      <c r="W82" s="121"/>
    </row>
    <row r="83" ht="14.25" customHeight="1" outlineLevel="1">
      <c r="B83" s="77" t="s">
        <v>64</v>
      </c>
      <c r="C83" s="232">
        <f>VLOOKUP($B83,Inputs!$B$6:$M$309,Inputs!C$1,0)</f>
        <v>1.5</v>
      </c>
      <c r="D83" s="10" t="s">
        <v>65</v>
      </c>
      <c r="G83" s="76"/>
      <c r="N83" s="228"/>
      <c r="O83" s="231"/>
      <c r="R83" s="228"/>
      <c r="S83" s="121"/>
      <c r="V83" s="228"/>
      <c r="W83" s="121"/>
    </row>
    <row r="84" ht="14.25" customHeight="1" outlineLevel="1">
      <c r="B84" s="77" t="s">
        <v>62</v>
      </c>
      <c r="C84" s="232">
        <f>VLOOKUP($B84,Inputs!$B$6:$M$309,Inputs!C$1,0)</f>
        <v>16</v>
      </c>
      <c r="D84" s="10" t="s">
        <v>63</v>
      </c>
      <c r="N84" s="228"/>
      <c r="O84" s="231"/>
      <c r="R84" s="228"/>
      <c r="S84" s="121"/>
      <c r="V84" s="228"/>
      <c r="W84" s="121"/>
    </row>
    <row r="85" ht="14.25" customHeight="1" outlineLevel="1">
      <c r="B85" s="77" t="s">
        <v>91</v>
      </c>
      <c r="C85" s="234">
        <f>VLOOKUP($B85,Inputs!$B$6:$M$309,Inputs!C$1,0)</f>
        <v>4000</v>
      </c>
      <c r="D85" s="10" t="s">
        <v>63</v>
      </c>
      <c r="G85" s="76"/>
      <c r="N85" s="228"/>
      <c r="O85" s="231"/>
      <c r="R85" s="228"/>
      <c r="S85" s="121"/>
      <c r="V85" s="228"/>
      <c r="W85" s="121"/>
    </row>
    <row r="86" ht="14.25" customHeight="1" outlineLevel="1">
      <c r="B86" s="77" t="s">
        <v>93</v>
      </c>
      <c r="C86" s="234">
        <f>VLOOKUP($B86,Inputs!$B$6:$M$309,Inputs!C$1,0)</f>
        <v>8000</v>
      </c>
      <c r="D86" s="10" t="s">
        <v>63</v>
      </c>
      <c r="G86" s="76"/>
      <c r="N86" s="228"/>
      <c r="O86" s="231"/>
      <c r="R86" s="228"/>
      <c r="S86" s="121"/>
      <c r="V86" s="228"/>
      <c r="W86" s="121"/>
    </row>
    <row r="87" ht="14.25" customHeight="1" outlineLevel="1">
      <c r="B87" s="77" t="s">
        <v>94</v>
      </c>
      <c r="C87" s="232">
        <f>VLOOKUP($B87,Inputs!$B$6:$M$309,Inputs!C$1,0)</f>
        <v>10</v>
      </c>
      <c r="D87" s="10" t="s">
        <v>95</v>
      </c>
      <c r="G87" s="76"/>
      <c r="N87" s="228"/>
      <c r="O87" s="231"/>
      <c r="R87" s="228"/>
      <c r="S87" s="121"/>
      <c r="V87" s="228"/>
      <c r="W87" s="121"/>
    </row>
    <row r="88" ht="14.25" customHeight="1" outlineLevel="1">
      <c r="B88" s="77" t="s">
        <v>69</v>
      </c>
      <c r="C88" s="232">
        <f>VLOOKUP($B88,Inputs!$B$6:$M$309,Inputs!C$1,0)</f>
        <v>4</v>
      </c>
      <c r="D88" s="10" t="s">
        <v>55</v>
      </c>
      <c r="G88" s="76"/>
      <c r="N88" s="228"/>
      <c r="O88" s="231"/>
      <c r="R88" s="228"/>
      <c r="S88" s="121"/>
      <c r="V88" s="228"/>
      <c r="W88" s="121"/>
    </row>
    <row r="89" ht="14.25" customHeight="1" outlineLevel="1">
      <c r="B89" s="77" t="s">
        <v>70</v>
      </c>
      <c r="C89" s="232">
        <f>VLOOKUP($B89,Inputs!$B$6:$M$309,Inputs!C$1,0)</f>
        <v>3</v>
      </c>
      <c r="D89" s="10" t="s">
        <v>55</v>
      </c>
      <c r="G89" s="76"/>
      <c r="N89" s="228"/>
      <c r="O89" s="231"/>
      <c r="R89" s="228"/>
      <c r="S89" s="121"/>
      <c r="V89" s="228"/>
      <c r="W89" s="121"/>
    </row>
    <row r="90" ht="14.25" customHeight="1" outlineLevel="1">
      <c r="B90" s="77" t="s">
        <v>71</v>
      </c>
      <c r="C90" s="232">
        <f>VLOOKUP($B90,Inputs!$B$6:$M$309,Inputs!C$1,0)</f>
        <v>1</v>
      </c>
      <c r="D90" s="10" t="s">
        <v>55</v>
      </c>
      <c r="G90" s="76"/>
      <c r="N90" s="228"/>
      <c r="O90" s="231"/>
      <c r="R90" s="228"/>
      <c r="S90" s="121"/>
      <c r="V90" s="228"/>
      <c r="W90" s="121"/>
    </row>
    <row r="91" ht="14.25" customHeight="1" outlineLevel="1">
      <c r="B91" s="77" t="s">
        <v>72</v>
      </c>
      <c r="C91" s="232">
        <f>VLOOKUP($B91,Inputs!$B$6:$M$309,Inputs!C$1,0)</f>
        <v>1</v>
      </c>
      <c r="D91" s="10" t="s">
        <v>55</v>
      </c>
      <c r="G91" s="76"/>
      <c r="N91" s="228"/>
      <c r="O91" s="231"/>
      <c r="R91" s="228"/>
      <c r="S91" s="121"/>
      <c r="V91" s="228"/>
      <c r="W91" s="121"/>
    </row>
    <row r="92" ht="14.25" customHeight="1" outlineLevel="1">
      <c r="B92" s="77" t="s">
        <v>80</v>
      </c>
      <c r="C92" s="232">
        <f>VLOOKUP($B92,Inputs!$B$6:$M$309,Inputs!C$1,0)</f>
        <v>26</v>
      </c>
      <c r="D92" s="10" t="s">
        <v>81</v>
      </c>
      <c r="G92" s="76"/>
      <c r="N92" s="228"/>
      <c r="O92" s="231"/>
      <c r="R92" s="228"/>
      <c r="S92" s="121"/>
      <c r="V92" s="228"/>
      <c r="W92" s="121"/>
    </row>
    <row r="93" ht="14.25" customHeight="1" outlineLevel="1">
      <c r="B93" s="77" t="s">
        <v>84</v>
      </c>
      <c r="C93" s="234">
        <f>VLOOKUP($B93,Inputs!$B$6:$M$309,Inputs!C$1,0)</f>
        <v>2</v>
      </c>
      <c r="N93" s="228"/>
      <c r="O93" s="231"/>
      <c r="R93" s="228"/>
      <c r="S93" s="121"/>
      <c r="V93" s="228"/>
      <c r="W93" s="121"/>
    </row>
    <row r="94" ht="14.25" customHeight="1" outlineLevel="1">
      <c r="B94" s="77" t="s">
        <v>437</v>
      </c>
      <c r="C94" s="232" t="str">
        <f>VLOOKUP($B94,Inputs!$B$6:$M$309,Inputs!C$1,0)</f>
        <v>#N/A</v>
      </c>
      <c r="D94" s="10" t="s">
        <v>55</v>
      </c>
      <c r="N94" s="228"/>
      <c r="O94" s="231"/>
      <c r="R94" s="228"/>
      <c r="S94" s="121"/>
      <c r="V94" s="228"/>
      <c r="W94" s="121"/>
    </row>
    <row r="95" ht="14.25" customHeight="1" outlineLevel="1">
      <c r="B95" s="77" t="s">
        <v>438</v>
      </c>
      <c r="C95" s="232" t="str">
        <f>VLOOKUP($B95,Inputs!$B$6:$M$309,Inputs!C$1,0)</f>
        <v>#N/A</v>
      </c>
      <c r="D95" s="10" t="s">
        <v>55</v>
      </c>
      <c r="N95" s="228"/>
      <c r="O95" s="231"/>
      <c r="R95" s="228"/>
      <c r="S95" s="121"/>
      <c r="V95" s="228"/>
      <c r="W95" s="121"/>
    </row>
    <row r="96" ht="14.25" customHeight="1" outlineLevel="1">
      <c r="B96" s="77" t="s">
        <v>439</v>
      </c>
      <c r="C96" s="232" t="str">
        <f>VLOOKUP($B96,Inputs!$B$6:$M$309,Inputs!C$1,0)</f>
        <v>#N/A</v>
      </c>
      <c r="D96" s="10" t="s">
        <v>55</v>
      </c>
      <c r="N96" s="228"/>
      <c r="O96" s="231"/>
      <c r="R96" s="228"/>
      <c r="S96" s="121"/>
      <c r="V96" s="228"/>
      <c r="W96" s="121"/>
    </row>
    <row r="97" ht="14.25" customHeight="1" outlineLevel="1">
      <c r="B97" s="77" t="s">
        <v>385</v>
      </c>
      <c r="C97" s="125" t="str">
        <f>IF(furnace_sel="Shop",IF(OR(part_scale_x&gt;dm_furnace_x,part_scale_y&gt;dm_furnace_y),IF(AND(part_scale_y&lt;=dm_furnace_x,part_scale_x&lt;=dm_furnace_y),part_scale_y,"N.A."),part_scale_x),IF(OR(part_scale_x&gt;Shop!mim_furnace_x,part_scale_y&gt;Shop!mim_furnace_y),IF(AND(part_scale_y&lt;=Shop!mim_furnace_x,part_scale_x&lt;=Shop!mim_furnace_y),part_scale_y,"N.A."),part_scale_x))</f>
        <v>#N/A</v>
      </c>
      <c r="N97" s="228"/>
      <c r="O97" s="231"/>
      <c r="R97" s="228"/>
      <c r="S97" s="121"/>
      <c r="V97" s="228"/>
      <c r="W97" s="121"/>
    </row>
    <row r="98" ht="14.25" customHeight="1" outlineLevel="1">
      <c r="B98" s="77" t="s">
        <v>386</v>
      </c>
      <c r="C98" s="125" t="str">
        <f>IF(C97=part_scale_x,part_scale_y,IF(C97=part_scale_y,part_scale_x,"N.A."))</f>
        <v>#N/A</v>
      </c>
      <c r="N98" s="228"/>
      <c r="O98" s="231"/>
      <c r="R98" s="228"/>
      <c r="S98" s="121"/>
      <c r="V98" s="228"/>
      <c r="W98" s="121"/>
    </row>
    <row r="99" ht="14.25" customHeight="1" outlineLevel="1">
      <c r="B99" s="77" t="s">
        <v>387</v>
      </c>
      <c r="C99" s="125" t="str">
        <f>IF(OR(C97="N.A.",C98="N.A."),"N.A.",part_scale_z)</f>
        <v>#N/A</v>
      </c>
      <c r="N99" s="228"/>
      <c r="O99" s="231"/>
      <c r="R99" s="228"/>
      <c r="S99" s="121"/>
    </row>
    <row r="100" ht="14.25" customHeight="1" outlineLevel="1">
      <c r="B100" s="77" t="s">
        <v>191</v>
      </c>
      <c r="C100" s="232">
        <f>VLOOKUP($B100,Inputs!$B$6:$M$309,Inputs!C$1,0)</f>
        <v>5</v>
      </c>
      <c r="D100" s="10" t="s">
        <v>55</v>
      </c>
      <c r="N100" s="228"/>
      <c r="O100" s="231"/>
      <c r="R100" s="228"/>
      <c r="S100" s="121"/>
    </row>
    <row r="101" ht="14.25" customHeight="1" outlineLevel="1">
      <c r="B101" s="77" t="s">
        <v>192</v>
      </c>
      <c r="C101" s="232">
        <f>VLOOKUP($B101,Inputs!$B$6:$M$309,Inputs!C$1,0)</f>
        <v>2</v>
      </c>
      <c r="D101" s="10" t="s">
        <v>55</v>
      </c>
      <c r="N101" s="228"/>
      <c r="O101" s="231"/>
      <c r="R101" s="228"/>
      <c r="S101" s="121"/>
    </row>
    <row r="102" ht="14.25" customHeight="1" outlineLevel="1">
      <c r="B102" s="77" t="s">
        <v>190</v>
      </c>
      <c r="C102" s="232">
        <f>VLOOKUP($B102,Inputs!$B$6:$M$309,Inputs!C$1,0)</f>
        <v>0</v>
      </c>
      <c r="D102" s="10" t="s">
        <v>55</v>
      </c>
      <c r="N102" s="228"/>
      <c r="O102" s="231"/>
      <c r="R102" s="228"/>
      <c r="S102" s="121"/>
    </row>
    <row r="103" ht="14.25" customHeight="1" outlineLevel="1">
      <c r="B103" s="77" t="s">
        <v>440</v>
      </c>
      <c r="C103" s="277">
        <v>46.67</v>
      </c>
      <c r="N103" s="228"/>
      <c r="O103" s="231"/>
      <c r="R103" s="228"/>
      <c r="S103" s="121"/>
    </row>
    <row r="104" ht="14.25" customHeight="1" outlineLevel="1">
      <c r="B104" s="77" t="s">
        <v>441</v>
      </c>
      <c r="C104" s="277">
        <v>124.5</v>
      </c>
      <c r="N104" s="228"/>
      <c r="O104" s="231"/>
      <c r="R104" s="228"/>
      <c r="S104" s="121"/>
    </row>
    <row r="105" ht="14.25" customHeight="1" outlineLevel="1">
      <c r="B105" s="77" t="s">
        <v>442</v>
      </c>
      <c r="C105" s="277">
        <f>(680+80)/50</f>
        <v>15.2</v>
      </c>
      <c r="N105" s="228"/>
      <c r="O105" s="231"/>
      <c r="R105" s="228"/>
      <c r="S105" s="121"/>
    </row>
    <row r="106" ht="14.25" customHeight="1" outlineLevel="1">
      <c r="B106" s="136" t="s">
        <v>381</v>
      </c>
      <c r="C106" s="278">
        <f>24*7*weeks_yr</f>
        <v>8064</v>
      </c>
      <c r="N106" s="228"/>
      <c r="O106" s="231"/>
    </row>
    <row r="107" ht="14.25" customHeight="1" outlineLevel="1">
      <c r="N107" s="228"/>
      <c r="O107" s="231"/>
      <c r="V107" s="228"/>
      <c r="W107" s="121"/>
    </row>
    <row r="108" ht="14.25" customHeight="1" outlineLevel="1">
      <c r="A108" s="10" t="s">
        <v>45</v>
      </c>
      <c r="B108" s="91" t="s">
        <v>443</v>
      </c>
      <c r="C108" s="229">
        <f>IFERROR(VLOOKUP(furnace_sel,$B$126:$F$130,3,0),6)</f>
        <v>6</v>
      </c>
      <c r="N108" s="228"/>
      <c r="O108" s="231"/>
      <c r="V108" s="228"/>
      <c r="W108" s="121"/>
    </row>
    <row r="109" ht="14.25" customHeight="1" outlineLevel="1">
      <c r="B109" s="77" t="s">
        <v>444</v>
      </c>
      <c r="C109" s="279" t="str">
        <f>CHOOSE(C$108,305,420,420,420,999999,"N.A.")</f>
        <v>N.A.</v>
      </c>
      <c r="D109" s="10" t="s">
        <v>55</v>
      </c>
      <c r="N109" s="228"/>
      <c r="O109" s="231"/>
    </row>
    <row r="110" ht="14.25" customHeight="1" outlineLevel="1">
      <c r="B110" s="77" t="s">
        <v>445</v>
      </c>
      <c r="C110" s="279" t="str">
        <f>CHOOSE(C$108,610,610,915,1524,999999,"N.A.")</f>
        <v>N.A.</v>
      </c>
      <c r="D110" s="10" t="s">
        <v>55</v>
      </c>
    </row>
    <row r="111" ht="14.25" customHeight="1" outlineLevel="1">
      <c r="B111" s="77" t="s">
        <v>446</v>
      </c>
      <c r="C111" s="279" t="str">
        <f>CHOOSE(C$108,305,460,460,460,999999,"N.A.")</f>
        <v>N.A.</v>
      </c>
      <c r="D111" s="10" t="s">
        <v>55</v>
      </c>
    </row>
    <row r="112" ht="14.25" customHeight="1" outlineLevel="1">
      <c r="B112" s="77" t="s">
        <v>447</v>
      </c>
      <c r="C112" s="280" t="str">
        <f>IF(furnace_index=6,"N.A.",11)</f>
        <v>N.A.</v>
      </c>
      <c r="N112" s="228"/>
      <c r="O112" s="231"/>
      <c r="R112" s="228"/>
      <c r="S112" s="121"/>
    </row>
    <row r="113" ht="14.25" customHeight="1" outlineLevel="1">
      <c r="B113" s="77" t="s">
        <v>448</v>
      </c>
      <c r="C113" s="281" t="str">
        <f>CHOOSE(C$108,18,20,22,26,24*7,"N.A.")</f>
        <v>N.A.</v>
      </c>
      <c r="D113" s="10" t="s">
        <v>81</v>
      </c>
      <c r="N113" s="228"/>
      <c r="O113" s="231"/>
      <c r="R113" s="228"/>
      <c r="S113" s="121"/>
    </row>
    <row r="114" ht="14.25" customHeight="1" outlineLevel="1">
      <c r="B114" s="77" t="str">
        <f>IF(furnace_sel="Continuous","MIM furnace utilities rate","MIM furnace gas consumption")</f>
        <v>MIM furnace gas consumption</v>
      </c>
      <c r="C114" s="279" t="str">
        <f>CHOOSE(C$108,660,1300,1700,2800,11.1,"N.A.")</f>
        <v>N.A.</v>
      </c>
      <c r="D114" s="10" t="str">
        <f>IF(furnace_sel="Continuous","$/hr","L/hr")</f>
        <v>L/hr</v>
      </c>
      <c r="N114" s="228"/>
      <c r="O114" s="231"/>
      <c r="R114" s="228"/>
      <c r="S114" s="121"/>
    </row>
    <row r="115" ht="14.25" customHeight="1" outlineLevel="1">
      <c r="B115" s="136" t="str">
        <f>IF(furnace_sel="Continuous","MIM furnace consumables rate","MIM furnace power consumption")</f>
        <v>MIM furnace power consumption</v>
      </c>
      <c r="C115" s="282" t="str">
        <f>CHOOSE(C$108,60,80,100,120,4.57,"N.A.")</f>
        <v>N.A.</v>
      </c>
      <c r="D115" s="10" t="str">
        <f>IF(furnace_sel="Continuous","$/hr","kW")</f>
        <v>kW</v>
      </c>
      <c r="N115" s="228"/>
      <c r="O115" s="231"/>
    </row>
    <row r="116" ht="14.25" customHeight="1" outlineLevel="1">
      <c r="N116" s="228"/>
      <c r="O116" s="231"/>
    </row>
    <row r="117" ht="14.25" customHeight="1" outlineLevel="1">
      <c r="A117" s="10" t="s">
        <v>45</v>
      </c>
      <c r="B117" s="96" t="s">
        <v>116</v>
      </c>
      <c r="C117" s="115"/>
      <c r="N117" s="228"/>
      <c r="O117" s="231"/>
    </row>
    <row r="118" ht="14.25" customHeight="1" outlineLevel="1">
      <c r="B118" s="77" t="s">
        <v>305</v>
      </c>
      <c r="C118" s="243" t="str">
        <f>VLOOKUP($B118,Inputs!$B$6:$M$309,Inputs!C$1,0)</f>
        <v>#N/A</v>
      </c>
      <c r="N118" s="228"/>
      <c r="O118" s="231"/>
    </row>
    <row r="119" ht="14.25" customHeight="1" outlineLevel="1">
      <c r="B119" s="77" t="s">
        <v>449</v>
      </c>
      <c r="C119" s="243" t="str">
        <f>VLOOKUP($B119,Inputs!$B$6:$M$309,Inputs!C$1,0)</f>
        <v>#N/A</v>
      </c>
      <c r="N119" s="228"/>
      <c r="O119" s="231"/>
    </row>
    <row r="120" ht="14.25" customHeight="1" outlineLevel="1">
      <c r="B120" s="77" t="s">
        <v>450</v>
      </c>
      <c r="C120" s="243" t="str">
        <f>VLOOKUP($B120,Inputs!$B$6:$M$309,Inputs!C$1,0)</f>
        <v>#N/A</v>
      </c>
      <c r="G120" s="231"/>
      <c r="H120" s="231"/>
      <c r="N120" s="228"/>
      <c r="O120" s="231"/>
    </row>
    <row r="121" ht="14.25" customHeight="1" outlineLevel="1">
      <c r="B121" s="77" t="s">
        <v>451</v>
      </c>
      <c r="C121" s="243" t="str">
        <f>VLOOKUP($B121,Inputs!$B$6:$M$309,Inputs!C$1,0)</f>
        <v>#N/A</v>
      </c>
    </row>
    <row r="122" ht="14.25" customHeight="1" outlineLevel="1">
      <c r="B122" s="77" t="s">
        <v>452</v>
      </c>
      <c r="C122" s="243" t="str">
        <f>VLOOKUP($B122,Inputs!$B$6:$M$309,Inputs!C$1,0)</f>
        <v>#N/A</v>
      </c>
    </row>
    <row r="123" ht="14.25" customHeight="1" outlineLevel="1">
      <c r="B123" s="77" t="s">
        <v>453</v>
      </c>
      <c r="C123" s="243" t="str">
        <f>VLOOKUP($B123,Inputs!$B$6:$M$309,Inputs!C$1,0)</f>
        <v>#N/A</v>
      </c>
      <c r="V123" s="228"/>
      <c r="W123" s="121"/>
    </row>
    <row r="124" ht="14.25" customHeight="1" outlineLevel="1">
      <c r="B124" s="77" t="s">
        <v>454</v>
      </c>
      <c r="C124" s="243" t="str">
        <f>VLOOKUP($B124,Inputs!$B$6:$M$309,Inputs!C$1,0)</f>
        <v>#N/A</v>
      </c>
      <c r="F124" s="9"/>
      <c r="V124" s="228"/>
      <c r="W124" s="121"/>
    </row>
    <row r="125" ht="14.25" customHeight="1" outlineLevel="1">
      <c r="B125" s="77" t="s">
        <v>455</v>
      </c>
      <c r="C125" s="243" t="str">
        <f>VLOOKUP($B125,Inputs!$B$6:$M$309,Inputs!C$1,0)</f>
        <v>#N/A</v>
      </c>
    </row>
    <row r="126" ht="14.25" customHeight="1" outlineLevel="1">
      <c r="B126" s="283">
        <v>2.0</v>
      </c>
      <c r="C126" s="243" t="str">
        <f>VLOOKUP($B126,Inputs!$B$6:$M$309,Inputs!C$1,0)</f>
        <v>#N/A</v>
      </c>
      <c r="D126" s="9">
        <v>1.0</v>
      </c>
      <c r="E126" s="124"/>
    </row>
    <row r="127" ht="14.25" customHeight="1" outlineLevel="1">
      <c r="B127" s="283">
        <v>4.0</v>
      </c>
      <c r="C127" s="243" t="str">
        <f>VLOOKUP($B127,Inputs!$B$6:$M$309,Inputs!C$1,0)</f>
        <v>#N/A</v>
      </c>
      <c r="D127" s="9">
        <f t="shared" ref="D127:D130" si="9">D126+1</f>
        <v>2</v>
      </c>
      <c r="E127" s="124"/>
      <c r="G127" s="124"/>
      <c r="N127" s="228"/>
      <c r="O127" s="231"/>
      <c r="R127" s="228"/>
      <c r="S127" s="121"/>
    </row>
    <row r="128" ht="14.25" customHeight="1" outlineLevel="1">
      <c r="B128" s="283">
        <v>6.0</v>
      </c>
      <c r="C128" s="243" t="str">
        <f>VLOOKUP($B128,Inputs!$B$6:$M$309,Inputs!C$1,0)</f>
        <v>#N/A</v>
      </c>
      <c r="D128" s="9">
        <f t="shared" si="9"/>
        <v>3</v>
      </c>
      <c r="N128" s="228"/>
      <c r="O128" s="231"/>
      <c r="R128" s="228"/>
      <c r="S128" s="121"/>
    </row>
    <row r="129" ht="14.25" customHeight="1" outlineLevel="1">
      <c r="B129" s="283">
        <v>12.0</v>
      </c>
      <c r="C129" s="243" t="str">
        <f>VLOOKUP($B129,Inputs!$B$6:$M$309,Inputs!C$1,0)</f>
        <v>#N/A</v>
      </c>
      <c r="D129" s="9">
        <f t="shared" si="9"/>
        <v>4</v>
      </c>
      <c r="E129" s="124"/>
      <c r="N129" s="228"/>
      <c r="O129" s="231"/>
      <c r="R129" s="228"/>
      <c r="S129" s="121"/>
    </row>
    <row r="130" ht="14.25" customHeight="1" outlineLevel="1">
      <c r="B130" s="156" t="s">
        <v>176</v>
      </c>
      <c r="C130" s="243" t="str">
        <f>VLOOKUP($B130,Inputs!$B$6:$M$309,Inputs!C$1,0)</f>
        <v>#N/A</v>
      </c>
      <c r="D130" s="9">
        <f t="shared" si="9"/>
        <v>5</v>
      </c>
      <c r="E130" s="124"/>
      <c r="F130" s="9"/>
      <c r="N130" s="228"/>
      <c r="O130" s="231"/>
      <c r="R130" s="228"/>
      <c r="S130" s="121"/>
    </row>
    <row r="131" ht="14.25" customHeight="1" outlineLevel="1">
      <c r="B131" s="77" t="s">
        <v>456</v>
      </c>
      <c r="C131" s="243" t="str">
        <f>VLOOKUP($B131,Inputs!$B$6:$M$309,Inputs!C$1,0)</f>
        <v>#N/A</v>
      </c>
      <c r="E131" s="124"/>
      <c r="F131" s="9"/>
      <c r="N131" s="228"/>
      <c r="O131" s="231"/>
      <c r="R131" s="228"/>
      <c r="S131" s="121"/>
    </row>
    <row r="132" ht="14.25" customHeight="1" outlineLevel="1">
      <c r="B132" s="77" t="s">
        <v>457</v>
      </c>
      <c r="C132" s="243" t="str">
        <f>VLOOKUP($B132,Inputs!$B$6:$M$309,Inputs!C$1,0)</f>
        <v>#N/A</v>
      </c>
      <c r="E132" s="124"/>
      <c r="F132" s="9"/>
      <c r="N132" s="228"/>
      <c r="O132" s="231"/>
      <c r="R132" s="228"/>
      <c r="S132" s="121"/>
    </row>
    <row r="133" ht="14.25" customHeight="1" outlineLevel="1">
      <c r="B133" s="77" t="s">
        <v>458</v>
      </c>
      <c r="C133" s="243" t="str">
        <f>VLOOKUP($B133,Inputs!$B$6:$M$309,Inputs!C$1,0)</f>
        <v>#N/A</v>
      </c>
      <c r="E133" s="124"/>
      <c r="F133" s="9"/>
      <c r="N133" s="228"/>
      <c r="O133" s="231"/>
      <c r="R133" s="228"/>
      <c r="S133" s="121"/>
    </row>
    <row r="134" ht="14.25" customHeight="1">
      <c r="B134" s="136" t="s">
        <v>459</v>
      </c>
      <c r="C134" s="243" t="str">
        <f>VLOOKUP($B134,Inputs!$B$6:$M$309,Inputs!C$1,0)</f>
        <v>#N/A</v>
      </c>
    </row>
    <row r="135" ht="14.25" customHeight="1" outlineLevel="1">
      <c r="B135" s="123"/>
      <c r="C135" s="123"/>
    </row>
    <row r="136" ht="14.25" customHeight="1" outlineLevel="1">
      <c r="A136" s="10" t="s">
        <v>45</v>
      </c>
      <c r="B136" s="91" t="s">
        <v>460</v>
      </c>
      <c r="C136" s="284">
        <v>4.0</v>
      </c>
      <c r="D136" s="10" t="s">
        <v>461</v>
      </c>
      <c r="E136" s="124"/>
    </row>
    <row r="137" ht="14.25" customHeight="1" outlineLevel="1">
      <c r="B137" s="77" t="s">
        <v>462</v>
      </c>
      <c r="C137" s="274">
        <v>4.0</v>
      </c>
      <c r="D137" s="10" t="s">
        <v>461</v>
      </c>
      <c r="E137" s="124"/>
      <c r="G137" s="124"/>
    </row>
    <row r="138" ht="14.25" customHeight="1" outlineLevel="1">
      <c r="B138" s="77" t="s">
        <v>463</v>
      </c>
      <c r="C138" s="274">
        <v>5.0</v>
      </c>
      <c r="D138" s="10" t="s">
        <v>461</v>
      </c>
      <c r="N138" s="228"/>
      <c r="O138" s="231"/>
      <c r="R138" s="228"/>
      <c r="S138" s="121"/>
    </row>
    <row r="139" ht="14.25" customHeight="1" outlineLevel="1">
      <c r="B139" s="77" t="s">
        <v>464</v>
      </c>
      <c r="C139" s="274">
        <v>10.0</v>
      </c>
      <c r="D139" s="10" t="s">
        <v>461</v>
      </c>
      <c r="N139" s="228"/>
      <c r="O139" s="231"/>
      <c r="R139" s="228"/>
      <c r="S139" s="121"/>
    </row>
    <row r="140" ht="14.25" customHeight="1" outlineLevel="1">
      <c r="B140" s="136" t="s">
        <v>465</v>
      </c>
      <c r="C140" s="285">
        <v>20.0</v>
      </c>
      <c r="D140" s="10" t="s">
        <v>461</v>
      </c>
    </row>
    <row r="141" ht="14.25" customHeight="1" outlineLevel="1"/>
    <row r="142" ht="14.25" customHeight="1" outlineLevel="1">
      <c r="B142" s="217" t="s">
        <v>393</v>
      </c>
      <c r="C142" s="245">
        <f t="array" ref="C142">INDEX(C143:C151,VLOOKUP(C41,B141:F150,5,0))</f>
        <v>0.000008</v>
      </c>
      <c r="D142" s="10" t="s">
        <v>394</v>
      </c>
      <c r="F142" s="9">
        <v>1.0</v>
      </c>
    </row>
    <row r="143" ht="14.25" customHeight="1" outlineLevel="1">
      <c r="B143" s="77" t="s">
        <v>428</v>
      </c>
      <c r="C143" s="246">
        <v>7.74E-6</v>
      </c>
      <c r="D143" s="10" t="s">
        <v>394</v>
      </c>
      <c r="F143" s="9">
        <f t="shared" ref="F143:F151" si="10">F142+1</f>
        <v>2</v>
      </c>
    </row>
    <row r="144" ht="14.25" customHeight="1" outlineLevel="1">
      <c r="B144" s="77" t="s">
        <v>466</v>
      </c>
      <c r="C144" s="246">
        <v>8.0E-6</v>
      </c>
      <c r="D144" s="10" t="s">
        <v>394</v>
      </c>
      <c r="F144" s="9">
        <f t="shared" si="10"/>
        <v>3</v>
      </c>
    </row>
    <row r="145" ht="14.25" customHeight="1" outlineLevel="1">
      <c r="B145" s="77" t="s">
        <v>149</v>
      </c>
      <c r="C145" s="246">
        <v>7.75E-6</v>
      </c>
      <c r="D145" s="10" t="s">
        <v>394</v>
      </c>
      <c r="F145" s="9">
        <f t="shared" si="10"/>
        <v>4</v>
      </c>
    </row>
    <row r="146" ht="14.25" customHeight="1" outlineLevel="1">
      <c r="B146" s="156">
        <v>4140.0</v>
      </c>
      <c r="C146" s="246">
        <v>7.85E-6</v>
      </c>
      <c r="D146" s="10" t="s">
        <v>394</v>
      </c>
      <c r="F146" s="9">
        <f t="shared" si="10"/>
        <v>5</v>
      </c>
    </row>
    <row r="147" ht="14.25" customHeight="1" outlineLevel="1">
      <c r="B147" s="77" t="s">
        <v>154</v>
      </c>
      <c r="C147" s="246">
        <v>1.04E-5</v>
      </c>
      <c r="D147" s="10" t="s">
        <v>394</v>
      </c>
      <c r="F147" s="9">
        <f t="shared" si="10"/>
        <v>6</v>
      </c>
    </row>
    <row r="148" ht="14.25" customHeight="1" outlineLevel="1">
      <c r="B148" s="77" t="s">
        <v>148</v>
      </c>
      <c r="C148" s="246">
        <v>1.56E-5</v>
      </c>
      <c r="D148" s="10" t="s">
        <v>394</v>
      </c>
      <c r="F148" s="9">
        <f t="shared" si="10"/>
        <v>7</v>
      </c>
    </row>
    <row r="149" ht="14.25" customHeight="1" outlineLevel="1">
      <c r="B149" s="77" t="s">
        <v>146</v>
      </c>
      <c r="C149" s="246">
        <v>8.96E-6</v>
      </c>
      <c r="D149" s="10" t="s">
        <v>394</v>
      </c>
      <c r="F149" s="9">
        <f t="shared" si="10"/>
        <v>8</v>
      </c>
    </row>
    <row r="150" ht="14.25" customHeight="1" outlineLevel="1">
      <c r="B150" s="77" t="s">
        <v>143</v>
      </c>
      <c r="C150" s="246">
        <v>2.7E-6</v>
      </c>
      <c r="D150" s="10" t="s">
        <v>394</v>
      </c>
      <c r="F150" s="9">
        <f t="shared" si="10"/>
        <v>9</v>
      </c>
    </row>
    <row r="151" ht="14.25" customHeight="1" outlineLevel="1">
      <c r="B151" s="77" t="s">
        <v>155</v>
      </c>
      <c r="C151" s="246">
        <v>4.42E-6</v>
      </c>
      <c r="D151" s="10" t="s">
        <v>394</v>
      </c>
      <c r="F151" s="9">
        <f t="shared" si="10"/>
        <v>10</v>
      </c>
    </row>
    <row r="152" ht="14.25" customHeight="1" outlineLevel="1">
      <c r="B152" s="136" t="s">
        <v>467</v>
      </c>
      <c r="C152" s="247">
        <v>8.3E-6</v>
      </c>
      <c r="D152" s="10" t="s">
        <v>394</v>
      </c>
    </row>
    <row r="153" ht="14.25" customHeight="1" outlineLevel="1">
      <c r="C153" s="124"/>
      <c r="F153" s="9"/>
    </row>
    <row r="154" ht="14.25" customHeight="1" outlineLevel="1">
      <c r="A154" s="10" t="s">
        <v>45</v>
      </c>
      <c r="B154" s="91" t="s">
        <v>428</v>
      </c>
      <c r="C154" s="286">
        <f>IF(C13="Base",75,40)</f>
        <v>75</v>
      </c>
      <c r="D154" s="10" t="s">
        <v>349</v>
      </c>
      <c r="F154" s="9"/>
    </row>
    <row r="155" ht="14.25" customHeight="1" outlineLevel="1">
      <c r="B155" s="77" t="s">
        <v>466</v>
      </c>
      <c r="C155" s="277">
        <v>82.0</v>
      </c>
      <c r="D155" s="10" t="s">
        <v>349</v>
      </c>
      <c r="F155" s="9"/>
    </row>
    <row r="156" ht="14.25" customHeight="1" outlineLevel="1">
      <c r="B156" s="77" t="s">
        <v>149</v>
      </c>
      <c r="C156" s="277">
        <v>0.0</v>
      </c>
      <c r="D156" s="10" t="s">
        <v>349</v>
      </c>
      <c r="F156" s="9"/>
      <c r="G156" s="76"/>
    </row>
    <row r="157" ht="14.25" customHeight="1" outlineLevel="1">
      <c r="B157" s="156">
        <v>4140.0</v>
      </c>
      <c r="C157" s="277">
        <v>0.0</v>
      </c>
      <c r="D157" s="10" t="s">
        <v>349</v>
      </c>
      <c r="F157" s="9"/>
      <c r="G157" s="76"/>
    </row>
    <row r="158" ht="14.25" customHeight="1" outlineLevel="1">
      <c r="B158" s="77" t="s">
        <v>154</v>
      </c>
      <c r="C158" s="277">
        <v>0.0</v>
      </c>
      <c r="D158" s="10" t="s">
        <v>349</v>
      </c>
      <c r="F158" s="9"/>
    </row>
    <row r="159" ht="14.25" customHeight="1" outlineLevel="1">
      <c r="B159" s="77" t="s">
        <v>148</v>
      </c>
      <c r="C159" s="277">
        <v>0.0</v>
      </c>
      <c r="D159" s="10" t="s">
        <v>349</v>
      </c>
      <c r="F159" s="9"/>
    </row>
    <row r="160" ht="14.25" customHeight="1" outlineLevel="1">
      <c r="B160" s="77" t="s">
        <v>146</v>
      </c>
      <c r="C160" s="277">
        <v>0.0</v>
      </c>
      <c r="D160" s="10" t="s">
        <v>349</v>
      </c>
      <c r="F160" s="9"/>
      <c r="G160" s="76"/>
    </row>
    <row r="161" ht="14.25" customHeight="1" outlineLevel="1">
      <c r="B161" s="77" t="s">
        <v>143</v>
      </c>
      <c r="C161" s="277">
        <v>0.0</v>
      </c>
      <c r="D161" s="10" t="s">
        <v>349</v>
      </c>
      <c r="F161" s="9"/>
      <c r="G161" s="76"/>
    </row>
    <row r="162" ht="14.25" customHeight="1" outlineLevel="1">
      <c r="B162" s="77" t="s">
        <v>155</v>
      </c>
      <c r="C162" s="277">
        <v>0.0</v>
      </c>
      <c r="D162" s="10" t="s">
        <v>349</v>
      </c>
      <c r="F162" s="9"/>
    </row>
    <row r="163" ht="14.25" customHeight="1" outlineLevel="1">
      <c r="B163" s="136" t="s">
        <v>467</v>
      </c>
      <c r="C163" s="287">
        <v>270.0</v>
      </c>
      <c r="D163" s="10" t="s">
        <v>349</v>
      </c>
    </row>
    <row r="164" ht="14.25" customHeight="1" outlineLevel="1"/>
    <row r="165" ht="14.25" customHeight="1" outlineLevel="1">
      <c r="A165" s="10" t="s">
        <v>45</v>
      </c>
      <c r="B165" s="91" t="s">
        <v>395</v>
      </c>
      <c r="C165" s="252" t="str">
        <f>G9*total_builds_yr</f>
        <v>#N/A</v>
      </c>
      <c r="D165" s="10" t="s">
        <v>95</v>
      </c>
    </row>
    <row r="166" ht="14.25" customHeight="1" outlineLevel="1">
      <c r="B166" s="77"/>
      <c r="C166" s="277"/>
    </row>
    <row r="167" ht="14.25" customHeight="1" outlineLevel="1">
      <c r="B167" s="77"/>
      <c r="C167" s="277"/>
    </row>
    <row r="168" ht="14.25" customHeight="1" outlineLevel="1">
      <c r="B168" s="77"/>
      <c r="C168" s="277"/>
    </row>
    <row r="169" ht="14.25" customHeight="1">
      <c r="B169" s="136"/>
      <c r="C169" s="168"/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G2"/>
  </mergeCells>
  <conditionalFormatting sqref="B16:C16">
    <cfRule type="expression" dxfId="1" priority="1">
      <formula>$C$15="No"</formula>
    </cfRule>
  </conditionalFormatting>
  <conditionalFormatting sqref="B19:C20">
    <cfRule type="expression" dxfId="1" priority="2">
      <formula>$C$21="Yes"</formula>
    </cfRule>
  </conditionalFormatting>
  <conditionalFormatting sqref="B22:C23">
    <cfRule type="expression" dxfId="1" priority="3">
      <formula>$C$21="No"</formula>
    </cfRule>
  </conditionalFormatting>
  <conditionalFormatting sqref="B38:C38">
    <cfRule type="expression" dxfId="1" priority="4">
      <formula>AND($C$18="Yes",$C$16="Shop")</formula>
    </cfRule>
  </conditionalFormatting>
  <conditionalFormatting sqref="C42:C46">
    <cfRule type="expression" dxfId="0" priority="5">
      <formula>$C$47="EMEA"</formula>
    </cfRule>
  </conditionalFormatting>
  <conditionalFormatting sqref="G19:G26">
    <cfRule type="expression" dxfId="4" priority="6">
      <formula>$C$47="EMEA"</formula>
    </cfRule>
  </conditionalFormatting>
  <conditionalFormatting sqref="G34:G38">
    <cfRule type="expression" dxfId="4" priority="7">
      <formula>$C$47="EMEA"</formula>
    </cfRule>
  </conditionalFormatting>
  <conditionalFormatting sqref="G46:G50">
    <cfRule type="expression" dxfId="0" priority="8">
      <formula>$C$47="EMEA"</formula>
    </cfRule>
  </conditionalFormatting>
  <conditionalFormatting sqref="J5:K18">
    <cfRule type="expression" dxfId="1" priority="9">
      <formula>$C$16&lt;&gt;"Shop"</formula>
    </cfRule>
  </conditionalFormatting>
  <conditionalFormatting sqref="J21:K24 J25 J26:K26 J27 J28:K28 J29 J30:K32 J33:J34 J35:K35 J37:K37 J38">
    <cfRule type="expression" dxfId="1" priority="10">
      <formula>$C$16="Shop"</formula>
    </cfRule>
  </conditionalFormatting>
  <conditionalFormatting sqref="K13:K18">
    <cfRule type="expression" dxfId="0" priority="11">
      <formula>$C$47="EMEA"</formula>
    </cfRule>
  </conditionalFormatting>
  <conditionalFormatting sqref="K31">
    <cfRule type="cellIs" dxfId="2" priority="12" operator="greaterThan">
      <formula>1</formula>
    </cfRule>
  </conditionalFormatting>
  <conditionalFormatting sqref="K33:K34">
    <cfRule type="expression" dxfId="3" priority="13">
      <formula>$C$16="Shop"</formula>
    </cfRule>
  </conditionalFormatting>
  <conditionalFormatting sqref="K47:K51">
    <cfRule type="expression" dxfId="0" priority="14">
      <formula>$C$47="EMEA"</formula>
    </cfRule>
  </conditionalFormatting>
  <dataValidations>
    <dataValidation type="list" allowBlank="1" showInputMessage="1" showErrorMessage="1" prompt="Select a build box size from the dropdown menu (4L, 8L, 12L, or 16L)." sqref="C14">
      <formula1>"4L,8L,12L,16L"</formula1>
    </dataValidation>
    <dataValidation type="list" allowBlank="1" showInputMessage="1" showErrorMessage="1" prompt="If nesting density (cell G16) is &lt; 10%, attempt nesting using Fabricate MFG or Magics and flip this cell to &quot;Yes&quot;. Otherwise, can use grid nesting and leave this cell as &quot;No&quot;." sqref="C21">
      <formula1>"No,Yes"</formula1>
    </dataValidation>
    <dataValidation type="list" allowBlank="1" showInputMessage="1" showErrorMessage="1" prompt="Select a furnace from the dropdown menu (DM furnace for Shop or 2 ft3 MIM furnace)." sqref="C16">
      <formula1>"Shop,2,4,6,12,Continuous"</formula1>
    </dataValidation>
    <dataValidation type="list" allowBlank="1" showInputMessage="1" showErrorMessage="1" prompt="Select a layer thickness from the dropdown menu (0.100 mm or 100 micron as default)." sqref="C24">
      <formula1>".050,.075,.100"</formula1>
    </dataValidation>
    <dataValidation type="list" allowBlank="1" showInputMessage="1" showErrorMessage="1" prompt="If prospect only wants to evaluate process costs up to sintering, choose no. Otherwise choose yes." sqref="C15">
      <formula1>"Yes,No"</formula1>
    </dataValidation>
    <dataValidation type="list" allowBlank="1" showInputMessage="1" showErrorMessage="1" prompt="Choose whether to limit to furnace qty 1 or allow multiple to support 100% printer capacity." sqref="C18">
      <formula1>"No,Yes"</formula1>
    </dataValidation>
    <dataValidation type="list" allowBlank="1" showErrorMessage="1" sqref="C41">
      <formula1>"17-4PH SS,316L SS,CoCr F75"</formula1>
    </dataValidation>
    <dataValidation type="list" allowBlank="1" showInputMessage="1" showErrorMessage="1" prompt="Choose a region (NAM, EMEA, APAC) to adjust currency in the output cells." sqref="C47">
      <formula1>"APAC,NAM,EMEA"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86"/>
    <col customWidth="1" min="2" max="2" width="30.86"/>
    <col customWidth="1" min="3" max="3" width="13.43"/>
    <col customWidth="1" min="4" max="4" width="6.86"/>
    <col customWidth="1" min="5" max="5" width="1.86"/>
    <col customWidth="1" min="6" max="6" width="30.86"/>
    <col customWidth="1" min="7" max="7" width="13.43"/>
    <col customWidth="1" min="8" max="8" width="6.86"/>
    <col customWidth="1" min="9" max="9" width="1.86"/>
    <col customWidth="1" min="10" max="10" width="30.86"/>
    <col customWidth="1" min="11" max="11" width="13.43"/>
    <col customWidth="1" min="12" max="12" width="6.86"/>
    <col customWidth="1" min="13" max="13" width="1.86"/>
    <col customWidth="1" min="14" max="14" width="11.43"/>
    <col customWidth="1" min="15" max="16" width="13.43"/>
    <col customWidth="1" min="17" max="17" width="5.86"/>
    <col customWidth="1" min="18" max="18" width="10.86"/>
    <col customWidth="1" min="19" max="19" width="13.43"/>
    <col customWidth="1" min="20" max="21" width="10.86"/>
    <col customWidth="1" min="22" max="22" width="10.43"/>
    <col customWidth="1" min="23" max="24" width="8.86"/>
    <col customWidth="1" min="25" max="25" width="11.14"/>
    <col customWidth="1" min="26" max="26" width="6.43"/>
    <col customWidth="1" min="27" max="29" width="8.86"/>
  </cols>
  <sheetData>
    <row r="1" ht="14.25" customHeight="1">
      <c r="G1" s="76"/>
      <c r="K1" s="76"/>
    </row>
    <row r="2" ht="14.25" customHeight="1">
      <c r="A2" s="10" t="s">
        <v>45</v>
      </c>
      <c r="B2" s="262" t="str">
        <f>Shop!B2</f>
        <v>#VALUE!</v>
      </c>
      <c r="C2" s="263"/>
      <c r="D2" s="263"/>
      <c r="E2" s="263"/>
      <c r="F2" s="264" t="s">
        <v>468</v>
      </c>
      <c r="G2" s="68"/>
      <c r="H2" s="263"/>
      <c r="I2" s="263"/>
      <c r="J2" s="263"/>
      <c r="K2" s="265" t="s">
        <v>215</v>
      </c>
      <c r="M2" s="10" t="s">
        <v>45</v>
      </c>
      <c r="N2" s="266" t="s">
        <v>469</v>
      </c>
      <c r="O2" s="263"/>
      <c r="P2" s="263"/>
      <c r="Q2" s="263"/>
      <c r="R2" s="263"/>
      <c r="S2" s="263"/>
      <c r="T2" s="267"/>
      <c r="U2" s="79"/>
      <c r="V2" s="79"/>
      <c r="W2" s="79"/>
      <c r="X2" s="79"/>
      <c r="Y2" s="79"/>
      <c r="Z2" s="79"/>
      <c r="AA2" s="79"/>
      <c r="AB2" s="115"/>
    </row>
    <row r="3" ht="14.25" customHeight="1">
      <c r="N3" s="77" t="s">
        <v>406</v>
      </c>
      <c r="P3" s="78" t="str">
        <f>G19+G34+G46+K47</f>
        <v>#N/A</v>
      </c>
      <c r="Q3" s="79"/>
      <c r="R3" s="10" t="str">
        <f>"Printed parts / "&amp;C14&amp;" build"</f>
        <v>Printed parts / P-1 build</v>
      </c>
      <c r="T3" s="80">
        <f>'P-1'!parts_job</f>
        <v>27</v>
      </c>
      <c r="AB3" s="81"/>
    </row>
    <row r="4" ht="14.25" customHeight="1">
      <c r="A4" s="10" t="s">
        <v>45</v>
      </c>
      <c r="B4" s="86" t="s">
        <v>217</v>
      </c>
      <c r="C4" s="87"/>
      <c r="E4" s="10" t="s">
        <v>45</v>
      </c>
      <c r="F4" s="86" t="s">
        <v>218</v>
      </c>
      <c r="G4" s="87"/>
      <c r="I4" s="10" t="s">
        <v>45</v>
      </c>
      <c r="J4" s="86" t="s">
        <v>470</v>
      </c>
      <c r="K4" s="87"/>
      <c r="N4" s="77" t="str">
        <f>IF(C16="Shop","DM",IF('P-1'!furnace_sel&lt;&gt;"Continuous",C16&amp;" cu ft MIM","Continuous"))&amp;" furnace MSRP"</f>
        <v>4 cu ft MIM furnace MSRP</v>
      </c>
      <c r="P4" s="78" t="str">
        <f>K33+K14</f>
        <v>#N/A</v>
      </c>
      <c r="R4" s="10" t="s">
        <v>220</v>
      </c>
      <c r="T4" s="88">
        <f>G16</f>
        <v>0.2302383369</v>
      </c>
      <c r="AB4" s="81"/>
    </row>
    <row r="5" ht="14.25" customHeight="1">
      <c r="B5" s="91" t="s">
        <v>221</v>
      </c>
      <c r="C5" s="92">
        <v>22.1</v>
      </c>
      <c r="D5" s="10" t="s">
        <v>55</v>
      </c>
      <c r="F5" s="91" t="s">
        <v>222</v>
      </c>
      <c r="G5" s="93">
        <f>'P-1'!part_vol_scale*'P-1'!bed_density</f>
        <v>2341.268066</v>
      </c>
      <c r="H5" s="10" t="s">
        <v>223</v>
      </c>
      <c r="J5" s="91" t="s">
        <v>471</v>
      </c>
      <c r="K5" s="94">
        <f>K21</f>
        <v>4</v>
      </c>
      <c r="L5" s="10" t="s">
        <v>184</v>
      </c>
      <c r="N5" s="96" t="s">
        <v>225</v>
      </c>
      <c r="O5" s="96"/>
      <c r="P5" s="97" t="str">
        <f>SUM(P3:P4)</f>
        <v>#N/A</v>
      </c>
      <c r="T5" s="98"/>
      <c r="AB5" s="81"/>
    </row>
    <row r="6" ht="14.25" customHeight="1">
      <c r="B6" s="77" t="s">
        <v>226</v>
      </c>
      <c r="C6" s="92">
        <v>16.0</v>
      </c>
      <c r="D6" s="10" t="s">
        <v>55</v>
      </c>
      <c r="F6" s="77" t="s">
        <v>227</v>
      </c>
      <c r="G6" s="101">
        <f>G5*density_selected*1000</f>
        <v>20.97776187</v>
      </c>
      <c r="H6" s="10" t="s">
        <v>228</v>
      </c>
      <c r="J6" s="77" t="s">
        <v>239</v>
      </c>
      <c r="K6" s="110">
        <f t="shared" ref="K6:K7" si="1">K25</f>
        <v>3718</v>
      </c>
      <c r="N6" s="103" t="str">
        <f>C14&amp;" printers required"</f>
        <v>P-1 printers required</v>
      </c>
      <c r="O6" s="11"/>
      <c r="P6" s="104">
        <f>G10</f>
        <v>1</v>
      </c>
      <c r="R6" s="10" t="s">
        <v>229</v>
      </c>
      <c r="T6" s="105">
        <f>T8/'P-1'!weeks_yr</f>
        <v>105.6589506</v>
      </c>
      <c r="AB6" s="81"/>
    </row>
    <row r="7" ht="14.25" customHeight="1">
      <c r="B7" s="77" t="s">
        <v>230</v>
      </c>
      <c r="C7" s="92">
        <v>16.0</v>
      </c>
      <c r="D7" s="10" t="s">
        <v>55</v>
      </c>
      <c r="F7" s="77" t="s">
        <v>231</v>
      </c>
      <c r="G7" s="108">
        <f>(G6*'P-1'!parts_job)/1000+(('P-1'!build_vol*'P-1'!bed_density*density_selected*'P-1'!powder_ratio)-(G6*'P-1'!parts_job)/1000)*'P-1'!powder_loss_percentage</f>
        <v>0.6373693008</v>
      </c>
      <c r="H7" s="10" t="s">
        <v>87</v>
      </c>
      <c r="J7" s="77" t="s">
        <v>243</v>
      </c>
      <c r="K7" s="110">
        <f t="shared" si="1"/>
        <v>240</v>
      </c>
      <c r="N7" s="103" t="s">
        <v>408</v>
      </c>
      <c r="P7" s="109">
        <f>IF('P-1'!furnace_sel="Shop",K11,K31)</f>
        <v>1</v>
      </c>
      <c r="R7" s="10" t="s">
        <v>233</v>
      </c>
      <c r="T7" s="105">
        <f>T6*4</f>
        <v>422.6358025</v>
      </c>
      <c r="AB7" s="81"/>
    </row>
    <row r="8" ht="14.25" customHeight="1">
      <c r="B8" s="77" t="s">
        <v>234</v>
      </c>
      <c r="C8" s="92">
        <v>2447.0</v>
      </c>
      <c r="D8" s="10" t="s">
        <v>223</v>
      </c>
      <c r="F8" s="77" t="s">
        <v>235</v>
      </c>
      <c r="G8" s="110">
        <f>'P-1'!part_vol_scale*(1-'P-1'!bed_density)*'P-1'!binder_void_ratio</f>
        <v>1248.676302</v>
      </c>
      <c r="H8" s="10" t="s">
        <v>223</v>
      </c>
      <c r="J8" s="77" t="s">
        <v>246</v>
      </c>
      <c r="K8" s="193">
        <f>6+K6/K7*1</f>
        <v>21.49166667</v>
      </c>
      <c r="L8" s="10" t="s">
        <v>81</v>
      </c>
      <c r="N8" s="77"/>
      <c r="R8" s="10" t="s">
        <v>236</v>
      </c>
      <c r="T8" s="105">
        <f>'P-1'!total_builds_yr</f>
        <v>5071.62963</v>
      </c>
      <c r="AB8" s="81"/>
    </row>
    <row r="9" ht="14.25" customHeight="1">
      <c r="B9" s="77" t="s">
        <v>237</v>
      </c>
      <c r="C9" s="92"/>
      <c r="D9" s="10" t="s">
        <v>223</v>
      </c>
      <c r="F9" s="77" t="s">
        <v>238</v>
      </c>
      <c r="G9" s="112">
        <f>G8*'P-1'!parts_job/10^6+('P-1'!build_layers/C84)*'P-1'!binder_purge_vol/1000</f>
        <v>0.06891426016</v>
      </c>
      <c r="H9" s="10" t="s">
        <v>95</v>
      </c>
      <c r="J9" s="77" t="s">
        <v>249</v>
      </c>
      <c r="K9" s="193">
        <f>('P-1'!good_parts_job/K6*K8)</f>
        <v>0.1560718128</v>
      </c>
      <c r="L9" s="10" t="s">
        <v>81</v>
      </c>
      <c r="N9" s="114" t="s">
        <v>472</v>
      </c>
      <c r="T9" s="115"/>
      <c r="AB9" s="81"/>
    </row>
    <row r="10" ht="14.25" customHeight="1">
      <c r="B10" s="77" t="s">
        <v>241</v>
      </c>
      <c r="C10" s="117">
        <f>part_only_vol+support_vol</f>
        <v>2447</v>
      </c>
      <c r="D10" s="10" t="s">
        <v>223</v>
      </c>
      <c r="F10" s="77" t="s">
        <v>245</v>
      </c>
      <c r="G10" s="110">
        <f>ROUNDUP('P-1'!part_req/'P-1'!part_capacity,0)</f>
        <v>1</v>
      </c>
      <c r="H10" s="124"/>
      <c r="J10" s="77" t="s">
        <v>252</v>
      </c>
      <c r="K10" s="119">
        <f>ROUNDDOWN('P-1'!total_hours_yr/K9,0)</f>
        <v>51668</v>
      </c>
      <c r="N10" s="91" t="s">
        <v>244</v>
      </c>
      <c r="O10" s="115"/>
      <c r="P10" s="120">
        <f>P32+P33+P35+P36</f>
        <v>1.683583343</v>
      </c>
      <c r="Q10" s="121"/>
      <c r="R10" s="10" t="str">
        <f>IF($C$15="Yes","Sintered","Green")&amp;" parts / week"</f>
        <v>Sintered parts / week</v>
      </c>
      <c r="T10" s="80">
        <f>T12/'P-1'!weeks_yr</f>
        <v>2852.791667</v>
      </c>
      <c r="AB10" s="81"/>
    </row>
    <row r="11" ht="14.25" customHeight="1">
      <c r="B11" s="123"/>
      <c r="C11" s="123"/>
      <c r="F11" s="77" t="s">
        <v>248</v>
      </c>
      <c r="G11" s="119">
        <f>'P-1'!part_req/'P-1'!good_parts_job*'P-1'!print_time_trn</f>
        <v>3840.01255</v>
      </c>
      <c r="H11" s="10" t="s">
        <v>81</v>
      </c>
      <c r="J11" s="77" t="s">
        <v>255</v>
      </c>
      <c r="K11" s="119">
        <f>K30</f>
        <v>37</v>
      </c>
      <c r="N11" s="77" t="str">
        <f>IF(C15="Yes","Sintered","Green")&amp;" part cost"</f>
        <v>Sintered part cost</v>
      </c>
      <c r="O11" s="81"/>
      <c r="P11" s="126" t="str">
        <f>T37-T34</f>
        <v>#N/A</v>
      </c>
      <c r="Q11" s="121"/>
      <c r="R11" s="10" t="str">
        <f>IF($C$15="Yes","Sintered","Green")&amp;" parts / month"</f>
        <v>Sintered parts / month</v>
      </c>
      <c r="T11" s="105">
        <f>T10*4</f>
        <v>11411.16667</v>
      </c>
      <c r="AB11" s="81"/>
    </row>
    <row r="12" ht="14.25" customHeight="1">
      <c r="A12" s="10" t="s">
        <v>45</v>
      </c>
      <c r="B12" s="86" t="s">
        <v>247</v>
      </c>
      <c r="C12" s="87"/>
      <c r="F12" s="77" t="s">
        <v>251</v>
      </c>
      <c r="G12" s="119">
        <f>'P-1'!part_req/'P-1'!good_parts_job</f>
        <v>5071.62963</v>
      </c>
      <c r="J12" s="77" t="s">
        <v>473</v>
      </c>
      <c r="K12" s="119">
        <f>ROUNDUP('P-1'!total_builds_yr/K10,0)</f>
        <v>1</v>
      </c>
      <c r="N12" s="91" t="str">
        <f t="shared" ref="N12:N13" si="2">N10&amp;" / cc"</f>
        <v>Printed part cost / cc</v>
      </c>
      <c r="O12" s="131"/>
      <c r="P12" s="120">
        <f>P10/part_only_vol*10^3</f>
        <v>0.6880193475</v>
      </c>
      <c r="Q12" s="121"/>
      <c r="R12" s="10" t="str">
        <f>IF($C$15="Yes","Sintered","Green")&amp;" parts / year"</f>
        <v>Sintered parts / year</v>
      </c>
      <c r="T12" s="132">
        <f>'P-1'!part_req</f>
        <v>136934</v>
      </c>
      <c r="AB12" s="81"/>
    </row>
    <row r="13" ht="14.25" customHeight="1">
      <c r="B13" s="77" t="s">
        <v>474</v>
      </c>
      <c r="C13" s="148" t="s">
        <v>475</v>
      </c>
      <c r="F13" s="77" t="s">
        <v>254</v>
      </c>
      <c r="G13" s="119">
        <f>G12/12</f>
        <v>422.6358025</v>
      </c>
      <c r="J13" s="77" t="s">
        <v>476</v>
      </c>
      <c r="K13" s="119">
        <f>K8*K11</f>
        <v>795.1916667</v>
      </c>
      <c r="L13" s="10" t="s">
        <v>81</v>
      </c>
      <c r="N13" s="136" t="str">
        <f t="shared" si="2"/>
        <v>Sintered part cost / cc</v>
      </c>
      <c r="O13" s="137"/>
      <c r="P13" s="269" t="str">
        <f>P11/part_only_vol*10^3</f>
        <v>#N/A</v>
      </c>
      <c r="Q13" s="121"/>
      <c r="T13" s="119"/>
      <c r="X13" s="171"/>
      <c r="Y13" s="171"/>
      <c r="Z13" s="171"/>
      <c r="AA13" s="171"/>
      <c r="AB13" s="288"/>
    </row>
    <row r="14" ht="14.25" customHeight="1">
      <c r="B14" s="224" t="s">
        <v>414</v>
      </c>
      <c r="C14" s="148" t="s">
        <v>477</v>
      </c>
      <c r="F14" s="77" t="s">
        <v>257</v>
      </c>
      <c r="G14" s="144">
        <f>G11/('P-1'!avail_hours_yr*G10)</f>
        <v>1.000003268</v>
      </c>
      <c r="J14" s="77" t="s">
        <v>478</v>
      </c>
      <c r="K14" s="158" t="str">
        <f>OFFSET(C131,'P-1'!furnace_index-1,)*K12</f>
        <v>#N/A</v>
      </c>
      <c r="N14" s="77"/>
      <c r="P14" s="124"/>
      <c r="Q14" s="121"/>
      <c r="R14" s="10" t="str">
        <f>"Printer util (QTY: "&amp;G10&amp;")"</f>
        <v>Printer util (QTY: 1)</v>
      </c>
      <c r="T14" s="141">
        <f>G14</f>
        <v>1.000003268</v>
      </c>
      <c r="V14" s="11"/>
      <c r="AB14" s="81"/>
    </row>
    <row r="15" ht="14.25" customHeight="1">
      <c r="B15" s="77" t="s">
        <v>256</v>
      </c>
      <c r="C15" s="148" t="s">
        <v>67</v>
      </c>
      <c r="F15" s="77" t="s">
        <v>260</v>
      </c>
      <c r="G15" s="144">
        <f>G11/(24*7*52*G10)</f>
        <v>0.4395618761</v>
      </c>
      <c r="J15" s="77" t="s">
        <v>479</v>
      </c>
      <c r="K15" s="158" t="str">
        <f>K14/furnace_depr+OFFSET(C136,'P-1'!furnace_index-1,)*K12*floor_rate</f>
        <v>#N/A</v>
      </c>
      <c r="N15" s="114" t="s">
        <v>480</v>
      </c>
      <c r="P15" s="10"/>
      <c r="Q15" s="121"/>
      <c r="R15" s="10" t="str">
        <f>"Crosslink util (QTY: "&amp;1&amp;")"</f>
        <v>Crosslink util (QTY: 1)</v>
      </c>
      <c r="T15" s="145">
        <f>G33/('P-1'!total_hours_yr*uptime)</f>
        <v>0.3222178712</v>
      </c>
      <c r="AB15" s="81"/>
    </row>
    <row r="16" ht="14.25" customHeight="1">
      <c r="B16" s="77" t="s">
        <v>224</v>
      </c>
      <c r="C16" s="148">
        <v>4.0</v>
      </c>
      <c r="D16" s="95" t="str">
        <f>IF(C16="Shop",,"ft3")</f>
        <v>ft3</v>
      </c>
      <c r="F16" s="77" t="s">
        <v>314</v>
      </c>
      <c r="G16" s="150">
        <f>'P-1'!part_vol_scale*'P-1'!parts_job/'P-1'!build_vol</f>
        <v>0.2302383369</v>
      </c>
      <c r="J16" s="77" t="s">
        <v>286</v>
      </c>
      <c r="K16" s="159" t="str">
        <f>IF('P-1'!furnace_sel="Continuous",0,K13/('P-1'!total_hours_yr*K12)*K15/'P-1'!part_req)</f>
        <v>#N/A</v>
      </c>
      <c r="N16" s="91" t="s">
        <v>244</v>
      </c>
      <c r="O16" s="115"/>
      <c r="P16" s="120" t="str">
        <f>SUM(P32:P36)</f>
        <v>#N/A</v>
      </c>
      <c r="Q16" s="121"/>
      <c r="R16" s="10" t="str">
        <f>"Depowder util (QTY: "&amp;G44&amp;")"</f>
        <v>Depowder util (QTY: 2)</v>
      </c>
      <c r="T16" s="145">
        <f>G45/('P-1'!avail_hours_yr*G44*uptime)</f>
        <v>0.686783179</v>
      </c>
      <c r="AB16" s="81"/>
    </row>
    <row r="17" ht="14.25" customHeight="1">
      <c r="B17" s="77" t="s">
        <v>417</v>
      </c>
      <c r="C17" s="148" t="s">
        <v>263</v>
      </c>
      <c r="D17" s="95"/>
      <c r="F17" s="123"/>
      <c r="G17" s="270"/>
      <c r="J17" s="77" t="s">
        <v>277</v>
      </c>
      <c r="K17" s="159">
        <f>IF('P-1'!furnace_sel="Continuous",0,'P-1'!labor_rate*K11*(K8-6)/'P-1'!part_req)</f>
        <v>0.08371794685</v>
      </c>
      <c r="N17" s="77" t="str">
        <f>IF(C15="Yes","Sintered","Green")&amp;" part cost"</f>
        <v>Sintered part cost</v>
      </c>
      <c r="P17" s="126" t="str">
        <f>T45</f>
        <v>#N/A</v>
      </c>
      <c r="Q17" s="121"/>
      <c r="R17" s="10" t="str">
        <f>"Furnace util (QTY: "&amp;IF('P-1'!furnace_sel="Shop",K11,K31)&amp;")"</f>
        <v>Furnace util (QTY: 1)</v>
      </c>
      <c r="T17" s="88">
        <f>K32/('P-1'!total_hours_yr*K31*uptime)</f>
        <v>0.1628461888</v>
      </c>
      <c r="AB17" s="81"/>
    </row>
    <row r="18" ht="14.25" customHeight="1">
      <c r="B18" s="77" t="s">
        <v>266</v>
      </c>
      <c r="C18" s="167" t="s">
        <v>68</v>
      </c>
      <c r="D18" s="95"/>
      <c r="E18" s="10" t="s">
        <v>45</v>
      </c>
      <c r="F18" s="86" t="s">
        <v>269</v>
      </c>
      <c r="G18" s="87"/>
      <c r="J18" s="136" t="s">
        <v>281</v>
      </c>
      <c r="K18" s="168">
        <f>IF('P-1'!furnace_sel="Continuous",0,(furnace_gas_cons*'P-1'!nitrogen_rate+furnace_power_cons*'P-1'!power_rate)*(K13-K6/K7*2*K11))/'P-1'!part_req</f>
        <v>-0.02795499413</v>
      </c>
      <c r="N18" s="91" t="s">
        <v>267</v>
      </c>
      <c r="O18" s="153"/>
      <c r="P18" s="120" t="str">
        <f>P16/part_only_vol*10^3</f>
        <v>#N/A</v>
      </c>
      <c r="Q18" s="121"/>
      <c r="T18" s="81"/>
      <c r="AB18" s="81"/>
    </row>
    <row r="19" ht="14.25" customHeight="1">
      <c r="B19" s="77" t="s">
        <v>418</v>
      </c>
      <c r="C19" s="110">
        <f>MAX(ROUNDDOWN(('P-1'!build_x-'P-1'!printer_xy_border*2+'P-1'!printer_xy_spacing)/('P-1'!part_scale_x+'P-1'!printer_xy_spacing),0)*ROUNDDOWN(('P-1'!build_y-'P-1'!printer_xy_border*2+'P-1'!printer_xy_spacing)/('P-1'!part_scale_y+'P-1'!printer_xy_spacing),0),ROUNDDOWN(('P-1'!build_x-'P-1'!printer_xy_border*2+'P-1'!printer_xy_spacing)/('P-1'!part_scale_y+'P-1'!printer_xy_spacing),0)*ROUNDDOWN(('P-1'!build_y-'P-1'!printer_xy_border*2+'P-1'!printer_xy_spacing)/('P-1'!part_scale_x+'P-1'!printer_xy_spacing),0))*ROUNDDOWN(('P-1'!build_z-'P-1'!printer_z_base+'P-1'!printer_z_spacing)/('P-1'!part_scale_z+'P-1'!printer_z_spacing),0)</f>
        <v>27</v>
      </c>
      <c r="F19" s="77" t="s">
        <v>273</v>
      </c>
      <c r="G19" s="158" t="str">
        <f>G10*'P-1'!printer_msrp+ROUNDUP(('P-1'!print_time_trn+G30+G42)/('P-1'!avail_hours_yr/'P-1'!total_builds_yr),0)*'P-1'!buildbox_msrp</f>
        <v>#N/A</v>
      </c>
      <c r="K19" s="10"/>
      <c r="N19" s="289" t="str">
        <f>IF(C15="Yes","Sintered","Green")&amp;" part cost / cc"</f>
        <v>Sintered part cost / cc</v>
      </c>
      <c r="O19" s="290"/>
      <c r="P19" s="269" t="str">
        <f>P17/part_only_vol*10^3</f>
        <v>#N/A</v>
      </c>
      <c r="Q19" s="187"/>
      <c r="R19" s="187" t="s">
        <v>271</v>
      </c>
      <c r="S19" s="187"/>
      <c r="T19" s="291">
        <f>print_trnaround*'P-1'!total_builds_yr+0.5*'P-1'!total_builds_yr/2+G45+(K27-'P-1'!furnace_time_cycle)*K30+IF('P-1'!furnace_sel&lt;&gt;"Continuous",(K8-6)*K11,0)</f>
        <v>10224.60037</v>
      </c>
      <c r="AB19" s="81"/>
    </row>
    <row r="20" ht="14.25" customHeight="1">
      <c r="B20" s="77" t="s">
        <v>378</v>
      </c>
      <c r="C20" s="119">
        <f>'P-1'!printer_z_base+('P-1'!part_scale_z)*ROUNDDOWN(('P-1'!build_z-'P-1'!printer_z_base+'P-1'!printer_z_spacing)/('P-1'!part_scale_z+'P-1'!printer_z_spacing),0)+'P-1'!printer_z_spacing*(ROUNDDOWN(('P-1'!build_z-'P-1'!printer_z_base+'P-1'!printer_z_spacing)/('P-1'!part_scale_z+'P-1'!printer_z_spacing),0)-1)</f>
        <v>22.88</v>
      </c>
      <c r="D20" s="10" t="s">
        <v>55</v>
      </c>
      <c r="F20" s="77" t="str">
        <f>"Annual depreciation (@ "&amp;dm_depr&amp;" yrs)"</f>
        <v>Annual depreciation (@ 7 yrs)</v>
      </c>
      <c r="G20" s="158" t="str">
        <f>G19/dm_depr+(5*1.9+1.4*1)*G10*floor_rate</f>
        <v>#N/A</v>
      </c>
      <c r="I20" s="10" t="s">
        <v>45</v>
      </c>
      <c r="J20" s="86" t="s">
        <v>419</v>
      </c>
      <c r="K20" s="87"/>
      <c r="N20" s="160" t="s">
        <v>275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115"/>
    </row>
    <row r="21" ht="14.25" customHeight="1">
      <c r="B21" s="77" t="s">
        <v>279</v>
      </c>
      <c r="C21" s="167" t="s">
        <v>68</v>
      </c>
      <c r="F21" s="77" t="s">
        <v>280</v>
      </c>
      <c r="G21" s="159">
        <f>(G7*IF(OR('P-1'!powder_price="",'P-1'!powder_price=0),powder_default_price,'P-1'!powder_price)/'P-1'!good_parts_job)</f>
        <v>0.8970382752</v>
      </c>
      <c r="J21" s="91" t="s">
        <v>481</v>
      </c>
      <c r="K21" s="94">
        <f>C16</f>
        <v>4</v>
      </c>
      <c r="L21" s="95" t="str">
        <f>IF(OR('P-1'!furnace_sel="Shop",'P-1'!furnace_sel="Continuous"),,"ft3")</f>
        <v>ft3</v>
      </c>
      <c r="N21" s="164" t="s">
        <v>278</v>
      </c>
      <c r="O21" s="165"/>
      <c r="Q21" s="165"/>
      <c r="R21" s="165"/>
      <c r="S21" s="165"/>
      <c r="T21" s="165"/>
      <c r="U21" s="165"/>
      <c r="AB21" s="81"/>
    </row>
    <row r="22" ht="14.25" customHeight="1">
      <c r="B22" s="77" t="s">
        <v>282</v>
      </c>
      <c r="C22" s="169">
        <v>0.0</v>
      </c>
      <c r="F22" s="77" t="s">
        <v>283</v>
      </c>
      <c r="G22" s="159">
        <f>G9*binder_weighted_price/'P-1'!good_parts_job</f>
        <v>0.3828570009</v>
      </c>
      <c r="J22" s="77" t="s">
        <v>180</v>
      </c>
      <c r="K22" s="172">
        <f>IF('P-1'!furnace_sel="Continuous","N.A.",C109)</f>
        <v>420</v>
      </c>
      <c r="L22" s="10" t="s">
        <v>55</v>
      </c>
      <c r="N22" s="164" t="str">
        <f>"2. DM Equipment MSRP includes "&amp;ROUNDUP(('P-1'!print_time_trn+G30+G42)/('P-1'!avail_hours_yr/'P-1'!total_builds_yr),0)&amp;" build boxes &amp; transfer cart."</f>
        <v>2. DM Equipment MSRP includes 7 build boxes &amp; transfer cart.</v>
      </c>
      <c r="Q22" s="165"/>
      <c r="R22" s="165"/>
      <c r="S22" s="165"/>
      <c r="T22" s="165"/>
      <c r="U22" s="165"/>
      <c r="AB22" s="81"/>
      <c r="AC22" s="165"/>
    </row>
    <row r="23" ht="14.25" customHeight="1">
      <c r="B23" s="77" t="s">
        <v>285</v>
      </c>
      <c r="C23" s="170">
        <v>0.0</v>
      </c>
      <c r="D23" s="10" t="s">
        <v>55</v>
      </c>
      <c r="F23" s="77" t="s">
        <v>286</v>
      </c>
      <c r="G23" s="159" t="str">
        <f>G11/('P-1'!avail_hours_yr*G10)*G20/'P-1'!part_req</f>
        <v>#N/A</v>
      </c>
      <c r="J23" s="77" t="s">
        <v>181</v>
      </c>
      <c r="K23" s="172">
        <f>IF('P-1'!furnace_sel="Continuous","N.A.",C110)</f>
        <v>610</v>
      </c>
      <c r="L23" s="10" t="s">
        <v>55</v>
      </c>
      <c r="N23" s="164" t="str">
        <f>"3. Consumables includes printheads"&amp;IF('P-1'!furnace_sel="Continuous"," and continuous furnace items.",".")</f>
        <v>3. Consumables includes printheads.</v>
      </c>
      <c r="O23" s="165"/>
      <c r="Q23" s="165"/>
      <c r="R23" s="165"/>
      <c r="S23" s="165"/>
      <c r="T23" s="165"/>
      <c r="U23" s="165"/>
      <c r="AB23" s="81"/>
      <c r="AC23" s="165"/>
    </row>
    <row r="24" ht="14.25" customHeight="1">
      <c r="B24" s="77" t="s">
        <v>292</v>
      </c>
      <c r="C24" s="112">
        <v>0.065</v>
      </c>
      <c r="D24" s="10" t="s">
        <v>55</v>
      </c>
      <c r="F24" s="77" t="s">
        <v>290</v>
      </c>
      <c r="G24" s="159">
        <f>(G9/'P-1'!printhead_life*'P-1'!printhead_msrp)/'P-1'!good_parts_job</f>
        <v>0.01350719499</v>
      </c>
      <c r="H24" s="124"/>
      <c r="J24" s="77" t="s">
        <v>182</v>
      </c>
      <c r="K24" s="172">
        <f>IF('P-1'!furnace_sel="Continuous","N.A.",C111)</f>
        <v>460</v>
      </c>
      <c r="L24" s="10" t="s">
        <v>55</v>
      </c>
      <c r="N24" s="164" t="s">
        <v>288</v>
      </c>
      <c r="O24" s="171"/>
      <c r="Q24" s="165"/>
      <c r="R24" s="165"/>
      <c r="S24" s="165"/>
      <c r="T24" s="165"/>
      <c r="U24" s="165"/>
      <c r="AB24" s="81"/>
      <c r="AC24" s="165"/>
    </row>
    <row r="25" ht="14.25" customHeight="1">
      <c r="B25" s="77" t="s">
        <v>420</v>
      </c>
      <c r="C25" s="110">
        <f>ROUNDUP('P-1'!build_height/C24,0)</f>
        <v>352</v>
      </c>
      <c r="F25" s="77" t="s">
        <v>277</v>
      </c>
      <c r="G25" s="159">
        <f>print_trnaround*'P-1'!labor_rate/'P-1'!good_parts_job</f>
        <v>0.3703703704</v>
      </c>
      <c r="H25" s="124"/>
      <c r="J25" s="77" t="s">
        <v>239</v>
      </c>
      <c r="K25" s="113">
        <f>IF('P-1'!furnace_sel="Continuous",'P-1'!part_req,ROUNDDOWN(('P-1'!mim_furnace_x+'P-1'!furnace_xy_spacing)/('P-1'!furnace_part_scale_x+'P-1'!furnace_xy_spacing),0)*ROUNDDOWN(('P-1'!mim_furnace_y+'P-1'!furnace_xy_spacing)/('P-1'!furnace_part_scale_y+'P-1'!furnace_xy_spacing),0)*MIN('P-1'!furnace_shelves,ROUNDDOWN('P-1'!mim_furnace_z/('P-1'!furnace_part_scale_z+furnace_rack_thickness+'P-1'!furnace_z_spacing),0)))</f>
        <v>3718</v>
      </c>
      <c r="N25" s="164" t="str">
        <f>"5. "&amp;C41&amp;" powder priced at "&amp;TEXT(IF('P-1'!powder_price="",C43,'P-1'!powder_price),"$0.00")&amp;"/kg and binder priced at "&amp;TEXT('P-1'!binder_price,"$0.00")&amp;"/L. Pricing may be volume dependent."</f>
        <v>5. Cu powder priced at $38.00/kg and binder priced at $150.00/L. Pricing may be volume dependent.</v>
      </c>
      <c r="O25" s="171"/>
      <c r="Q25" s="171"/>
      <c r="R25" s="171"/>
      <c r="S25" s="171"/>
      <c r="T25" s="171"/>
      <c r="U25" s="171"/>
      <c r="AB25" s="81"/>
      <c r="AC25" s="165"/>
    </row>
    <row r="26" ht="14.25" customHeight="1">
      <c r="B26" s="77" t="str">
        <f>"Print time + "&amp;print_trnaround&amp;"hrs turnaround"</f>
        <v>Print time + 0.5hrs turnaround</v>
      </c>
      <c r="C26" s="273">
        <f>C25*'P-1'!layer_speed/(60*60)+print_trnaround</f>
        <v>0.7571555556</v>
      </c>
      <c r="D26" s="10" t="s">
        <v>81</v>
      </c>
      <c r="F26" s="136" t="s">
        <v>295</v>
      </c>
      <c r="G26" s="168">
        <f>('P-1'!power_rate*IF('P-1'!p_model="P-1",9,13)*('P-1'!print_time_trn-print_trnaround))/'P-1'!good_parts_job+'P-1'!nitrogen_rate*1000*('P-1'!print_time_trn-print_trnaround)/'P-1'!good_parts_job</f>
        <v>0.01981050206</v>
      </c>
      <c r="H26" s="124"/>
      <c r="J26" s="77" t="s">
        <v>243</v>
      </c>
      <c r="K26" s="119">
        <f>C51</f>
        <v>240</v>
      </c>
      <c r="N26" s="164" t="str">
        <f>"6. Key process assumptions: (i) "&amp;C24*1000&amp;" micron printed layer height; (ii) $"&amp;'P-1'!labor_rate&amp;"/hr labor rate; (iii) Printer, depowdering, and powder handling equipment @ "&amp;C31&amp;" x "&amp;C32&amp;" x "&amp;'P-1'!weeks_yr&amp;" x "&amp;uptime*100&amp;"% uptime"</f>
        <v>6. Key process assumptions: (i) 65 micron printed layer height; (ii) $20/hr labor rate; (iii) Printer, depowdering, and powder handling equipment @ 16 x 5 x 48 x 100% uptime</v>
      </c>
      <c r="O26" s="171"/>
      <c r="Q26" s="171"/>
      <c r="R26" s="171"/>
      <c r="S26" s="171"/>
      <c r="T26" s="171"/>
      <c r="U26" s="171"/>
      <c r="AB26" s="81"/>
      <c r="AC26" s="171"/>
    </row>
    <row r="27" ht="14.25" customHeight="1">
      <c r="B27" s="77" t="s">
        <v>299</v>
      </c>
      <c r="C27" s="190">
        <v>1.0</v>
      </c>
      <c r="G27" s="10"/>
      <c r="H27" s="124"/>
      <c r="J27" s="77" t="s">
        <v>246</v>
      </c>
      <c r="K27" s="125">
        <f>IF('P-1'!furnace_sel="Continuous",'P-1'!furnace_time_cycle+K25/K26*2,'P-1'!furnace_time_cycle+K25/K26*1)</f>
        <v>35.49166667</v>
      </c>
      <c r="L27" s="10" t="s">
        <v>81</v>
      </c>
      <c r="N27" s="176"/>
      <c r="O27" s="165" t="str">
        <f>"                        (iv) "&amp;G41&amp;" parts/hr depowdering rate; (v) "&amp;'P-1'!total_yield*100&amp;"% overall process yield; (vi) "&amp;dm_depr&amp;"yr DM equipment depreciation;"</f>
        <v>                        (iv) 50 parts/hr depowdering rate; (v) 100% overall process yield; (vi) 7yr DM equipment depreciation;</v>
      </c>
      <c r="Q27" s="171"/>
      <c r="R27" s="171"/>
      <c r="S27" s="171"/>
      <c r="T27" s="171"/>
      <c r="U27" s="171"/>
      <c r="AB27" s="81"/>
      <c r="AC27" s="171"/>
    </row>
    <row r="28" ht="14.25" customHeight="1">
      <c r="B28" s="136" t="s">
        <v>301</v>
      </c>
      <c r="C28" s="192">
        <f>IF('P-1'!override_nesting="Yes",IF(C22=0,C19,C22),C19)*C27</f>
        <v>27</v>
      </c>
      <c r="E28" s="10" t="s">
        <v>45</v>
      </c>
      <c r="F28" s="86" t="s">
        <v>482</v>
      </c>
      <c r="G28" s="87"/>
      <c r="J28" s="77" t="s">
        <v>249</v>
      </c>
      <c r="K28" s="125">
        <f>'P-1'!good_parts_job/K25*K27</f>
        <v>0.257739376</v>
      </c>
      <c r="L28" s="10" t="s">
        <v>81</v>
      </c>
      <c r="N28" s="182"/>
      <c r="O28" s="183" t="str">
        <f>"                        (vii) Crosslink station "&amp;IF(C15="Yes","&amp; sintering ",)&amp;"equipment @ 24 x 7 x "&amp;'P-1'!weeks_yr&amp;" x "&amp;uptime*100&amp;"% uptime; (viii) "&amp;IF(C15="Yes",furnace_depr&amp;"yr MIM furnace depreciation; (iv) ",)&amp;'P-1'!total_yield*100&amp;"% overall process yield"</f>
        <v>                        (vii) Crosslink station &amp; sintering equipment @ 24 x 7 x 48 x 100% uptime; (viii) 10yr MIM furnace depreciation; (iv) 100% overall process yield</v>
      </c>
      <c r="P28" s="184"/>
      <c r="Q28" s="185"/>
      <c r="R28" s="185"/>
      <c r="S28" s="185"/>
      <c r="T28" s="185"/>
      <c r="U28" s="185"/>
      <c r="V28" s="186"/>
      <c r="W28" s="187"/>
      <c r="X28" s="184"/>
      <c r="Y28" s="184"/>
      <c r="Z28" s="184"/>
      <c r="AA28" s="184"/>
      <c r="AB28" s="188"/>
      <c r="AC28" s="171"/>
    </row>
    <row r="29" ht="14.25" customHeight="1">
      <c r="F29" s="91" t="str">
        <f>IF('P-1'!p_model="P-50","Printer builds / day","Printer builds / oven run")</f>
        <v>Printer builds / oven run</v>
      </c>
      <c r="G29" s="292">
        <f>C93</f>
        <v>6</v>
      </c>
      <c r="J29" s="77" t="s">
        <v>252</v>
      </c>
      <c r="K29" s="119">
        <f>IF('P-1'!furnace_sel="Continuous",(240000/2.2)/('P-1'!good_parts_job*'P-1'!part_vol*density_selected),ROUNDDOWN('P-1'!total_hours_yr/K28,0))</f>
        <v>31287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171"/>
    </row>
    <row r="30" ht="14.25" customHeight="1">
      <c r="A30" s="10" t="s">
        <v>45</v>
      </c>
      <c r="B30" s="86" t="s">
        <v>310</v>
      </c>
      <c r="C30" s="87"/>
      <c r="F30" s="77" t="str">
        <f>"Dry time + "&amp;'P-1'!xlink_trnaround&amp;"hrs turnaround"</f>
        <v>Dry time + 0.5hrs turnaround</v>
      </c>
      <c r="G30" s="193">
        <f>C92*'P-1'!build_height/'P-1'!build_z+'P-1'!xlink_trnaround</f>
        <v>3.074</v>
      </c>
      <c r="H30" s="10" t="s">
        <v>81</v>
      </c>
      <c r="J30" s="77" t="s">
        <v>255</v>
      </c>
      <c r="K30" s="119">
        <f>ROUNDUP('P-1'!part_req/K25,0)</f>
        <v>37</v>
      </c>
      <c r="N30" s="171"/>
      <c r="Q30" s="171"/>
      <c r="R30" s="171"/>
      <c r="S30" s="171"/>
      <c r="T30" s="171"/>
      <c r="U30" s="171"/>
      <c r="V30" s="189"/>
      <c r="W30" s="121"/>
      <c r="AC30" s="171"/>
    </row>
    <row r="31" ht="14.25" customHeight="1">
      <c r="B31" s="91" t="s">
        <v>315</v>
      </c>
      <c r="C31" s="201">
        <v>16.0</v>
      </c>
      <c r="F31" s="77" t="s">
        <v>252</v>
      </c>
      <c r="G31" s="119">
        <f>ROUNDDOWN(G29*'P-1'!total_hours_yr/G30,0)</f>
        <v>15739</v>
      </c>
      <c r="J31" s="77" t="s">
        <v>421</v>
      </c>
      <c r="K31" s="172">
        <f>ROUNDUP('P-1'!total_builds_yr/K29,0)</f>
        <v>1</v>
      </c>
      <c r="N31" s="194" t="str">
        <f>"Production System "&amp;'P-1'!p_model&amp;" "&amp;LOWER(N11)&amp;" allocation"</f>
        <v>Production System P-1 sintered part cost allocation</v>
      </c>
      <c r="U31" s="121"/>
      <c r="V31" s="194" t="s">
        <v>303</v>
      </c>
      <c r="AC31" s="171"/>
    </row>
    <row r="32" ht="14.25" customHeight="1">
      <c r="B32" s="77" t="s">
        <v>321</v>
      </c>
      <c r="C32" s="201">
        <v>5.0</v>
      </c>
      <c r="F32" s="77" t="s">
        <v>311</v>
      </c>
      <c r="G32" s="119">
        <f>ROUNDUP('P-1'!total_builds_yr/G31,0)</f>
        <v>1</v>
      </c>
      <c r="J32" s="77" t="s">
        <v>422</v>
      </c>
      <c r="K32" s="119">
        <f>IF('P-1'!furnace_sel="Continuous",'P-1'!total_hours_yr,K27*K30)</f>
        <v>1313.191667</v>
      </c>
      <c r="L32" s="10" t="s">
        <v>81</v>
      </c>
      <c r="N32" s="10" t="s">
        <v>305</v>
      </c>
      <c r="O32" s="10" t="s">
        <v>306</v>
      </c>
      <c r="P32" s="124">
        <f>G21+G22</f>
        <v>1.279895276</v>
      </c>
      <c r="R32" s="10" t="s">
        <v>307</v>
      </c>
      <c r="S32" s="10" t="s">
        <v>308</v>
      </c>
      <c r="T32" s="124">
        <f t="shared" ref="T32:T36" si="3">SUMIF($O$32:$O$49,S32,$P$32:$P$49)</f>
        <v>1.279895276</v>
      </c>
      <c r="U32" s="124"/>
      <c r="V32" s="195" t="s">
        <v>309</v>
      </c>
      <c r="W32" s="196"/>
      <c r="X32" s="196"/>
      <c r="Y32" s="197">
        <f>'P-1'!parts_job</f>
        <v>27</v>
      </c>
      <c r="Z32" s="121"/>
      <c r="AA32" s="121"/>
      <c r="AB32" s="121"/>
      <c r="AC32" s="121"/>
    </row>
    <row r="33" ht="14.25" customHeight="1">
      <c r="B33" s="77" t="s">
        <v>325</v>
      </c>
      <c r="C33" s="201">
        <v>48.0</v>
      </c>
      <c r="F33" s="77" t="s">
        <v>483</v>
      </c>
      <c r="G33" s="119">
        <f>'P-1'!total_builds_yr*G30/G29</f>
        <v>2598.364914</v>
      </c>
      <c r="H33" s="10" t="s">
        <v>81</v>
      </c>
      <c r="J33" s="77" t="s">
        <v>423</v>
      </c>
      <c r="K33" s="158" t="str">
        <f>IFERROR(OFFSET(C126,'P-1'!furnace_index-1,)*K31,"N.A.")</f>
        <v>N.A.</v>
      </c>
      <c r="N33" s="10" t="s">
        <v>305</v>
      </c>
      <c r="O33" s="10" t="s">
        <v>313</v>
      </c>
      <c r="P33" s="124">
        <f>G24</f>
        <v>0.01350719499</v>
      </c>
      <c r="S33" s="10" t="s">
        <v>313</v>
      </c>
      <c r="T33" s="124">
        <f t="shared" si="3"/>
        <v>0.01350719499</v>
      </c>
      <c r="U33" s="124"/>
      <c r="V33" s="198" t="s">
        <v>314</v>
      </c>
      <c r="W33" s="199"/>
      <c r="X33" s="199"/>
      <c r="Y33" s="200">
        <f>G16</f>
        <v>0.2302383369</v>
      </c>
    </row>
    <row r="34" ht="14.25" customHeight="1">
      <c r="B34" s="77" t="s">
        <v>424</v>
      </c>
      <c r="C34" s="110">
        <f>C31*C32*'P-1'!weeks_yr</f>
        <v>3840</v>
      </c>
      <c r="F34" s="77" t="s">
        <v>484</v>
      </c>
      <c r="G34" s="158" t="str">
        <f>G32*'P-1'!xlink_msrp</f>
        <v>#N/A</v>
      </c>
      <c r="J34" s="77" t="str">
        <f>"Annual depreciation (@ "&amp;furnace_depr&amp;" yrs)"</f>
        <v>Annual depreciation (@ 10 yrs)</v>
      </c>
      <c r="K34" s="158" t="str">
        <f>IFERROR(K33/furnace_depr+OFFSET(C136,'P-1'!furnace_index-1,)*K31*floor_rate,"N.A.")</f>
        <v>N.A.</v>
      </c>
      <c r="N34" s="10" t="s">
        <v>305</v>
      </c>
      <c r="O34" s="10" t="s">
        <v>318</v>
      </c>
      <c r="P34" s="124" t="str">
        <f>G23</f>
        <v>#N/A</v>
      </c>
      <c r="S34" s="10" t="s">
        <v>318</v>
      </c>
      <c r="T34" s="124" t="str">
        <f t="shared" si="3"/>
        <v>#N/A</v>
      </c>
      <c r="U34" s="124"/>
      <c r="V34" s="198" t="s">
        <v>319</v>
      </c>
      <c r="W34" s="199"/>
      <c r="X34" s="199"/>
      <c r="Y34" s="202">
        <f>IF('P-1'!furnace_sel="Continuous","N.A.",K25)</f>
        <v>3718</v>
      </c>
    </row>
    <row r="35" ht="14.25" customHeight="1">
      <c r="B35" s="77" t="s">
        <v>425</v>
      </c>
      <c r="C35" s="190">
        <v>1.0</v>
      </c>
      <c r="F35" s="77" t="str">
        <f>"Annual depreciation (@ "&amp;dm_depr&amp;" yrs)"</f>
        <v>Annual depreciation (@ 7 yrs)</v>
      </c>
      <c r="G35" s="158" t="str">
        <f>G34/dm_depr</f>
        <v>#N/A</v>
      </c>
      <c r="J35" s="77" t="s">
        <v>270</v>
      </c>
      <c r="K35" s="159" t="str">
        <f>IFERROR(K32/('P-1'!total_hours_yr*K31)*K34/'P-1'!part_req,"N.A.")</f>
        <v>N.A.</v>
      </c>
      <c r="N35" s="10" t="s">
        <v>305</v>
      </c>
      <c r="O35" s="10" t="s">
        <v>320</v>
      </c>
      <c r="P35" s="124">
        <f t="shared" ref="P35:P36" si="4">G25</f>
        <v>0.3703703704</v>
      </c>
      <c r="S35" s="10" t="s">
        <v>320</v>
      </c>
      <c r="T35" s="124">
        <f t="shared" si="3"/>
        <v>1.519354514</v>
      </c>
      <c r="U35" s="124"/>
      <c r="V35" s="198" t="s">
        <v>323</v>
      </c>
      <c r="W35" s="199"/>
      <c r="X35" s="199"/>
      <c r="Y35" s="203">
        <f>IFERROR(Y34/C19,"N.A.")</f>
        <v>137.7037037</v>
      </c>
    </row>
    <row r="36" ht="14.25" customHeight="1">
      <c r="B36" s="77" t="s">
        <v>426</v>
      </c>
      <c r="C36" s="110">
        <f>'P-1'!avail_hours_yr*uptime</f>
        <v>3840</v>
      </c>
      <c r="F36" s="77" t="s">
        <v>286</v>
      </c>
      <c r="G36" s="159" t="str">
        <f>G33/('P-1'!total_hours_yr*G32)*G35/'P-1'!part_req</f>
        <v>#N/A</v>
      </c>
      <c r="J36" s="77" t="s">
        <v>274</v>
      </c>
      <c r="K36" s="159">
        <f>IF('P-1'!furnace_sel="Continuous",furnace_power_cons*'P-1'!total_hours_yr/'P-1'!part_req,0)</f>
        <v>0</v>
      </c>
      <c r="N36" s="10" t="s">
        <v>305</v>
      </c>
      <c r="O36" s="10" t="s">
        <v>324</v>
      </c>
      <c r="P36" s="124">
        <f t="shared" si="4"/>
        <v>0.01981050206</v>
      </c>
      <c r="S36" s="10" t="s">
        <v>324</v>
      </c>
      <c r="T36" s="124">
        <f t="shared" si="3"/>
        <v>0.04604369114</v>
      </c>
      <c r="U36" s="124"/>
      <c r="V36" s="198" t="s">
        <v>326</v>
      </c>
      <c r="W36" s="199"/>
      <c r="X36" s="199"/>
      <c r="Y36" s="202">
        <f>Y37/'P-1'!weeks_yr</f>
        <v>2852.791667</v>
      </c>
    </row>
    <row r="37" ht="14.25" customHeight="1">
      <c r="B37" s="77" t="s">
        <v>336</v>
      </c>
      <c r="C37" s="110">
        <f>ROUND('P-1'!good_parts_job/'P-1'!print_time_trn*uptime_hours_yr,0)</f>
        <v>136934</v>
      </c>
      <c r="F37" s="77" t="s">
        <v>277</v>
      </c>
      <c r="G37" s="159">
        <f>('P-1'!xlink_trnaround/G29*'P-1'!labor_rate*'P-1'!total_builds_yr)/'P-1'!part_req</f>
        <v>0.06172839506</v>
      </c>
      <c r="J37" s="77" t="s">
        <v>277</v>
      </c>
      <c r="K37" s="159">
        <f>IF('P-1'!furnace_sel="Continuous",'P-1'!labor_rate*'P-1'!part_req/K26,'P-1'!labor_rate*K30*(K27-C113))/'P-1'!part_req</f>
        <v>0.08371794685</v>
      </c>
      <c r="N37" s="79" t="s">
        <v>485</v>
      </c>
      <c r="O37" s="79" t="s">
        <v>318</v>
      </c>
      <c r="P37" s="205" t="str">
        <f t="shared" ref="P37:P39" si="5">G36</f>
        <v>#N/A</v>
      </c>
      <c r="S37" s="79" t="s">
        <v>307</v>
      </c>
      <c r="T37" s="205" t="str">
        <f>SUM(T32:T36)</f>
        <v>#N/A</v>
      </c>
      <c r="V37" s="198" t="s">
        <v>330</v>
      </c>
      <c r="W37" s="199"/>
      <c r="X37" s="199"/>
      <c r="Y37" s="202">
        <f>'P-1'!part_req</f>
        <v>136934</v>
      </c>
    </row>
    <row r="38" ht="14.25" customHeight="1">
      <c r="B38" s="136" t="s">
        <v>342</v>
      </c>
      <c r="C38" s="169">
        <f>'P-1'!part_capacity</f>
        <v>136934</v>
      </c>
      <c r="F38" s="136" t="s">
        <v>295</v>
      </c>
      <c r="G38" s="168">
        <f>('P-1'!power_rate*5*G33+'P-1'!nitrogen_rate*120*G33)/'P-1'!part_req</f>
        <v>0.01366222222</v>
      </c>
      <c r="J38" s="136" t="s">
        <v>281</v>
      </c>
      <c r="K38" s="168">
        <f>IF('P-1'!furnace_sel="Continuous",furnace_gas_cons*'P-1'!total_hours_yr,(argon_rate*furnace_gas_cons+'P-1'!power_rate*furnace_power_cons)*(K27-K25/K26*2)*K30)/'P-1'!part_req</f>
        <v>0.01565343219</v>
      </c>
      <c r="N38" s="10" t="s">
        <v>485</v>
      </c>
      <c r="O38" s="10" t="s">
        <v>320</v>
      </c>
      <c r="P38" s="124">
        <f t="shared" si="5"/>
        <v>0.06172839506</v>
      </c>
      <c r="T38" s="209"/>
      <c r="V38" s="198" t="s">
        <v>332</v>
      </c>
      <c r="W38" s="199"/>
      <c r="X38" s="199"/>
      <c r="Y38" s="208" t="str">
        <f>P11</f>
        <v>#N/A</v>
      </c>
    </row>
    <row r="39" ht="14.25" customHeight="1">
      <c r="G39" s="10"/>
      <c r="K39" s="10"/>
      <c r="N39" s="184" t="s">
        <v>485</v>
      </c>
      <c r="O39" s="184" t="s">
        <v>324</v>
      </c>
      <c r="P39" s="206">
        <f t="shared" si="5"/>
        <v>0.01366222222</v>
      </c>
      <c r="R39" s="10" t="s">
        <v>307</v>
      </c>
      <c r="S39" s="10" t="s">
        <v>308</v>
      </c>
      <c r="T39" s="124">
        <f>P32</f>
        <v>1.279895276</v>
      </c>
      <c r="V39" s="198" t="s">
        <v>335</v>
      </c>
      <c r="W39" s="199"/>
      <c r="X39" s="199"/>
      <c r="Y39" s="208" t="str">
        <f>P13</f>
        <v>#N/A</v>
      </c>
    </row>
    <row r="40" ht="14.25" customHeight="1">
      <c r="A40" s="10" t="s">
        <v>45</v>
      </c>
      <c r="B40" s="86" t="s">
        <v>344</v>
      </c>
      <c r="C40" s="87"/>
      <c r="E40" s="10" t="s">
        <v>45</v>
      </c>
      <c r="F40" s="86" t="s">
        <v>340</v>
      </c>
      <c r="G40" s="87"/>
      <c r="I40" s="10" t="s">
        <v>45</v>
      </c>
      <c r="J40" s="86" t="s">
        <v>427</v>
      </c>
      <c r="K40" s="87"/>
      <c r="N40" s="10" t="s">
        <v>333</v>
      </c>
      <c r="O40" s="10" t="s">
        <v>318</v>
      </c>
      <c r="P40" s="124" t="str">
        <f t="shared" ref="P40:P42" si="6">G48</f>
        <v>#N/A</v>
      </c>
      <c r="S40" s="10" t="s">
        <v>305</v>
      </c>
      <c r="T40" s="124" t="str">
        <f t="shared" ref="T40:T44" si="7">SUMIF($N$33:$N$49,S40,$P$33:$P$49)</f>
        <v>#N/A</v>
      </c>
      <c r="U40" s="209"/>
      <c r="V40" s="198" t="s">
        <v>337</v>
      </c>
      <c r="W40" s="199"/>
      <c r="X40" s="199"/>
      <c r="Y40" s="208" t="str">
        <f>P17</f>
        <v>#N/A</v>
      </c>
    </row>
    <row r="41" ht="14.25" customHeight="1">
      <c r="B41" s="217" t="s">
        <v>346</v>
      </c>
      <c r="C41" s="293" t="s">
        <v>146</v>
      </c>
      <c r="F41" s="77" t="s">
        <v>343</v>
      </c>
      <c r="G41" s="216">
        <f>C50</f>
        <v>50</v>
      </c>
      <c r="J41" s="77" t="s">
        <v>86</v>
      </c>
      <c r="K41" s="236">
        <v>35.0</v>
      </c>
      <c r="L41" s="10" t="s">
        <v>87</v>
      </c>
      <c r="N41" s="10" t="s">
        <v>333</v>
      </c>
      <c r="O41" s="10" t="s">
        <v>320</v>
      </c>
      <c r="P41" s="124">
        <f t="shared" si="6"/>
        <v>0.7703703704</v>
      </c>
      <c r="S41" s="10" t="s">
        <v>485</v>
      </c>
      <c r="T41" s="124" t="str">
        <f t="shared" si="7"/>
        <v>#N/A</v>
      </c>
      <c r="V41" s="198" t="s">
        <v>341</v>
      </c>
      <c r="W41" s="199"/>
      <c r="X41" s="199"/>
      <c r="Y41" s="208" t="str">
        <f>P19</f>
        <v>#N/A</v>
      </c>
    </row>
    <row r="42" ht="14.25" customHeight="1">
      <c r="B42" s="77" t="s">
        <v>429</v>
      </c>
      <c r="C42" s="219"/>
      <c r="D42" s="10" t="s">
        <v>349</v>
      </c>
      <c r="F42" s="77" t="str">
        <f>"Depowder time + "&amp;'P-1'!depowder_trnaround&amp;"hrs turnaround"</f>
        <v>Depowder time + 0.5hrs turnaround</v>
      </c>
      <c r="G42" s="108">
        <f>'P-1'!parts_job/G41+'P-1'!depowder_trnaround</f>
        <v>1.04</v>
      </c>
      <c r="H42" s="10" t="s">
        <v>81</v>
      </c>
      <c r="J42" s="77" t="str">
        <f>"Blend time + "&amp;'P-1'!powder_trnaround&amp;"hrs turnaround"</f>
        <v>Blend time + 0.5hrs turnaround</v>
      </c>
      <c r="K42" s="294">
        <f>1+'P-1'!powder_trnaround</f>
        <v>1.5</v>
      </c>
      <c r="L42" s="10" t="s">
        <v>81</v>
      </c>
      <c r="N42" s="10" t="s">
        <v>333</v>
      </c>
      <c r="O42" s="10" t="s">
        <v>324</v>
      </c>
      <c r="P42" s="124">
        <f t="shared" si="6"/>
        <v>0.02368888889</v>
      </c>
      <c r="S42" s="10" t="s">
        <v>333</v>
      </c>
      <c r="T42" s="124" t="str">
        <f t="shared" si="7"/>
        <v>#N/A</v>
      </c>
      <c r="V42" s="198" t="s">
        <v>248</v>
      </c>
      <c r="W42" s="199"/>
      <c r="X42" s="199"/>
      <c r="Y42" s="210">
        <f>T14</f>
        <v>1.000003268</v>
      </c>
    </row>
    <row r="43" ht="14.25" customHeight="1">
      <c r="B43" s="103" t="s">
        <v>351</v>
      </c>
      <c r="C43" s="295">
        <f t="array" ref="C43">+INDEX(C154:C163,VLOOKUP(C41,B141:F151,5,0))</f>
        <v>38</v>
      </c>
      <c r="D43" s="10" t="s">
        <v>349</v>
      </c>
      <c r="F43" s="77" t="s">
        <v>252</v>
      </c>
      <c r="G43" s="119">
        <f>ROUNDDOWN(uptime_hours_yr/G42,0)</f>
        <v>3692</v>
      </c>
      <c r="J43" s="77" t="s">
        <v>298</v>
      </c>
      <c r="K43" s="119">
        <f>K41*uptime_hours_yr/K42</f>
        <v>89600</v>
      </c>
      <c r="L43" s="10" t="s">
        <v>87</v>
      </c>
      <c r="N43" s="79" t="s">
        <v>338</v>
      </c>
      <c r="O43" s="79" t="s">
        <v>313</v>
      </c>
      <c r="P43" s="205" t="str">
        <f>IF(C15="No",0,IF(C16="Continuous",K36,))</f>
        <v/>
      </c>
      <c r="S43" s="10" t="s">
        <v>338</v>
      </c>
      <c r="T43" s="124" t="str">
        <f t="shared" si="7"/>
        <v>#N/A</v>
      </c>
      <c r="V43" s="213" t="s">
        <v>261</v>
      </c>
      <c r="W43" s="214"/>
      <c r="X43" s="214"/>
      <c r="Y43" s="215">
        <f>T17</f>
        <v>0.1628461888</v>
      </c>
    </row>
    <row r="44" ht="14.25" customHeight="1">
      <c r="B44" s="77" t="s">
        <v>129</v>
      </c>
      <c r="C44" s="159">
        <f>IF(binder_per_yr&gt;F166,C168,IF(binder_per_yr&gt;F165,C167,C166))</f>
        <v>150</v>
      </c>
      <c r="D44" s="10" t="s">
        <v>353</v>
      </c>
      <c r="F44" s="77" t="s">
        <v>347</v>
      </c>
      <c r="G44" s="119">
        <f>ROUNDUP('P-1'!total_builds_yr/G43,0)</f>
        <v>2</v>
      </c>
      <c r="J44" s="77" t="s">
        <v>293</v>
      </c>
      <c r="K44" s="119">
        <f>('P-1'!build_vol*'P-1'!bed_density*'P-1'!powder_ratio*density_selected-G7)</f>
        <v>14.1229763</v>
      </c>
      <c r="L44" s="10" t="s">
        <v>87</v>
      </c>
      <c r="N44" s="10" t="s">
        <v>338</v>
      </c>
      <c r="O44" s="10" t="s">
        <v>318</v>
      </c>
      <c r="P44" s="124" t="str">
        <f>IF(C15="No",0,K35+IF($C$16&lt;&gt;"Continuous",K16,0))</f>
        <v>#N/A</v>
      </c>
      <c r="S44" s="10" t="s">
        <v>345</v>
      </c>
      <c r="T44" s="124" t="str">
        <f t="shared" si="7"/>
        <v>#N/A</v>
      </c>
    </row>
    <row r="45" ht="14.25" customHeight="1">
      <c r="B45" s="77" t="s">
        <v>132</v>
      </c>
      <c r="C45" s="221">
        <f>VLOOKUP(B45,Inputs!$B$6:$M$311,Inputs!L$1,0)</f>
        <v>13230</v>
      </c>
      <c r="F45" s="77" t="s">
        <v>350</v>
      </c>
      <c r="G45" s="119">
        <f>'P-1'!total_builds_yr*G42</f>
        <v>5274.494815</v>
      </c>
      <c r="H45" s="10" t="s">
        <v>81</v>
      </c>
      <c r="J45" s="77" t="s">
        <v>300</v>
      </c>
      <c r="K45" s="119">
        <f>ROUNDUP('P-1'!total_builds_yr*K44/K43,0)</f>
        <v>1</v>
      </c>
      <c r="N45" s="10" t="s">
        <v>338</v>
      </c>
      <c r="O45" s="10" t="s">
        <v>320</v>
      </c>
      <c r="P45" s="124">
        <f>IF(C15="No",0,K37+IF($C$16&lt;&gt;"Continuous",K17,0))</f>
        <v>0.1674358937</v>
      </c>
      <c r="S45" s="79" t="s">
        <v>307</v>
      </c>
      <c r="T45" s="205" t="str">
        <f>SUM(T39:T44)</f>
        <v>#N/A</v>
      </c>
    </row>
    <row r="46" ht="14.25" customHeight="1">
      <c r="B46" s="61" t="s">
        <v>486</v>
      </c>
      <c r="C46" s="148" t="s">
        <v>355</v>
      </c>
      <c r="F46" s="77" t="s">
        <v>352</v>
      </c>
      <c r="G46" s="158" t="str">
        <f>G44*'P-1'!depowder_msrp</f>
        <v>#N/A</v>
      </c>
      <c r="J46" s="77" t="s">
        <v>302</v>
      </c>
      <c r="K46" s="119">
        <f>'P-1'!total_builds_yr*K44/K41*K42</f>
        <v>3069.70736</v>
      </c>
      <c r="L46" s="10" t="s">
        <v>81</v>
      </c>
      <c r="N46" s="184" t="s">
        <v>338</v>
      </c>
      <c r="O46" s="184" t="s">
        <v>324</v>
      </c>
      <c r="P46" s="206">
        <f>IF(C15="No",0,K38+IF($C$16&lt;&gt;"Continuous",K18,0))</f>
        <v>-0.01230156194</v>
      </c>
      <c r="T46" s="209"/>
    </row>
    <row r="47" ht="14.25" customHeight="1">
      <c r="F47" s="77" t="str">
        <f>"Annual depreciation (@ "&amp;dm_depr&amp;" yrs)"</f>
        <v>Annual depreciation (@ 7 yrs)</v>
      </c>
      <c r="G47" s="158" t="str">
        <f>G46/dm_depr+(2.7*1.2)*G44*floor_rate</f>
        <v>#N/A</v>
      </c>
      <c r="J47" s="77" t="s">
        <v>430</v>
      </c>
      <c r="K47" s="158" t="str">
        <f>'P-1'!blender_msrp*K45</f>
        <v>#N/A</v>
      </c>
      <c r="N47" s="10" t="s">
        <v>345</v>
      </c>
      <c r="O47" s="10" t="s">
        <v>318</v>
      </c>
      <c r="P47" s="124" t="str">
        <f t="shared" ref="P47:P49" si="8">K49</f>
        <v>#N/A</v>
      </c>
    </row>
    <row r="48" ht="14.25" customHeight="1">
      <c r="A48" s="10" t="s">
        <v>45</v>
      </c>
      <c r="B48" s="86" t="s">
        <v>487</v>
      </c>
      <c r="C48" s="87"/>
      <c r="F48" s="77" t="s">
        <v>286</v>
      </c>
      <c r="G48" s="159" t="str">
        <f>G45/('P-1'!avail_hours_yr*G44)*G47/'P-1'!part_req</f>
        <v>#N/A</v>
      </c>
      <c r="J48" s="77" t="str">
        <f>"Annual depreciation (@ "&amp;dm_depr&amp;" yrs)"</f>
        <v>Annual depreciation (@ 7 yrs)</v>
      </c>
      <c r="K48" s="158" t="str">
        <f>K47/dm_depr+(0.8*0.8)*K45*floor_rate</f>
        <v>#N/A</v>
      </c>
      <c r="N48" s="10" t="s">
        <v>345</v>
      </c>
      <c r="O48" s="10" t="s">
        <v>320</v>
      </c>
      <c r="P48" s="124">
        <f t="shared" si="8"/>
        <v>0.1494494846</v>
      </c>
    </row>
    <row r="49" ht="14.25" customHeight="1">
      <c r="B49" s="77" t="s">
        <v>357</v>
      </c>
      <c r="C49" s="223">
        <v>20.0</v>
      </c>
      <c r="D49" s="10" t="s">
        <v>358</v>
      </c>
      <c r="F49" s="77" t="s">
        <v>277</v>
      </c>
      <c r="G49" s="159">
        <f>G42*'P-1'!labor_rate*'P-1'!total_builds_yr/'P-1'!part_req</f>
        <v>0.7703703704</v>
      </c>
      <c r="J49" s="77" t="s">
        <v>286</v>
      </c>
      <c r="K49" s="159" t="str">
        <f>K46/('P-1'!avail_hours_yr*K45)*K48/'P-1'!part_req</f>
        <v>#N/A</v>
      </c>
      <c r="N49" s="10" t="s">
        <v>345</v>
      </c>
      <c r="O49" s="10" t="s">
        <v>324</v>
      </c>
      <c r="P49" s="124">
        <f t="shared" si="8"/>
        <v>0.001183639918</v>
      </c>
    </row>
    <row r="50" ht="14.25" customHeight="1">
      <c r="B50" s="224" t="s">
        <v>359</v>
      </c>
      <c r="C50" s="201">
        <v>50.0</v>
      </c>
      <c r="F50" s="136" t="s">
        <v>295</v>
      </c>
      <c r="G50" s="168">
        <f>'P-1'!power_rate*5*G45/'P-1'!part_req+'P-1'!nitrogen_rate*15*G42/'P-1'!good_parts_job</f>
        <v>0.02368888889</v>
      </c>
      <c r="J50" s="77" t="s">
        <v>277</v>
      </c>
      <c r="K50" s="159">
        <f>'P-1'!total_builds_yr*K44/K41*'P-1'!powder_trnaround*'P-1'!labor_rate/'P-1'!part_req</f>
        <v>0.1494494846</v>
      </c>
      <c r="P50" s="124"/>
    </row>
    <row r="51" ht="14.25" customHeight="1">
      <c r="B51" s="224" t="s">
        <v>243</v>
      </c>
      <c r="C51" s="201">
        <f>IF('P-1'!p_model="P-50",600,240)</f>
        <v>240</v>
      </c>
      <c r="G51" s="121"/>
      <c r="J51" s="136" t="s">
        <v>281</v>
      </c>
      <c r="K51" s="296">
        <f>0.66*'P-1'!power_rate*('P-1'!total_builds_yr*K44/K41)/'P-1'!part_req</f>
        <v>0.001183639918</v>
      </c>
      <c r="N51" s="228"/>
      <c r="O51" s="121"/>
      <c r="P51" s="276"/>
      <c r="Q51" s="121"/>
      <c r="R51" s="121"/>
      <c r="S51" s="121"/>
      <c r="T51" s="121"/>
      <c r="U51" s="121"/>
      <c r="V51" s="189"/>
      <c r="W51" s="121"/>
    </row>
    <row r="52" ht="14.25" customHeight="1">
      <c r="B52" s="77" t="s">
        <v>431</v>
      </c>
      <c r="C52" s="201">
        <v>7.0</v>
      </c>
      <c r="D52" s="10" t="s">
        <v>361</v>
      </c>
      <c r="N52" s="228"/>
      <c r="O52" s="121"/>
      <c r="P52" s="276"/>
      <c r="Q52" s="121"/>
      <c r="R52" s="121"/>
      <c r="S52" s="121"/>
      <c r="T52" s="121"/>
      <c r="U52" s="121"/>
      <c r="V52" s="189"/>
      <c r="W52" s="121"/>
    </row>
    <row r="53" ht="14.25" customHeight="1">
      <c r="B53" s="224" t="s">
        <v>432</v>
      </c>
      <c r="C53" s="201">
        <v>10.0</v>
      </c>
      <c r="D53" s="10" t="s">
        <v>361</v>
      </c>
    </row>
    <row r="54" ht="14.25" customHeight="1">
      <c r="B54" s="224" t="s">
        <v>433</v>
      </c>
      <c r="C54" s="226">
        <v>0.001</v>
      </c>
      <c r="D54" s="10" t="s">
        <v>353</v>
      </c>
    </row>
    <row r="55" ht="14.25" customHeight="1">
      <c r="B55" s="224" t="s">
        <v>434</v>
      </c>
      <c r="C55" s="226">
        <v>0.0025</v>
      </c>
      <c r="D55" s="10" t="s">
        <v>353</v>
      </c>
    </row>
    <row r="56" ht="14.25" customHeight="1">
      <c r="B56" s="224" t="s">
        <v>367</v>
      </c>
      <c r="C56" s="226">
        <v>0.12</v>
      </c>
      <c r="D56" s="10" t="s">
        <v>368</v>
      </c>
    </row>
    <row r="57" ht="14.25" customHeight="1">
      <c r="B57" s="61" t="s">
        <v>369</v>
      </c>
      <c r="C57" s="227">
        <v>160.0</v>
      </c>
      <c r="D57" s="10" t="s">
        <v>370</v>
      </c>
    </row>
    <row r="58" ht="14.25" customHeight="1">
      <c r="U58" s="121"/>
      <c r="V58" s="189"/>
      <c r="W58" s="121"/>
    </row>
    <row r="59" ht="14.25" hidden="1" customHeight="1" outlineLevel="1">
      <c r="N59" s="228"/>
      <c r="O59" s="121"/>
      <c r="P59" s="276"/>
      <c r="Q59" s="121"/>
      <c r="R59" s="121"/>
      <c r="S59" s="121"/>
      <c r="T59" s="121"/>
      <c r="U59" s="121"/>
      <c r="V59" s="189"/>
      <c r="W59" s="121"/>
    </row>
    <row r="60" ht="14.25" hidden="1" customHeight="1" outlineLevel="1">
      <c r="A60" s="10" t="s">
        <v>45</v>
      </c>
      <c r="B60" s="91" t="s">
        <v>342</v>
      </c>
      <c r="C60" s="93">
        <f>IF(C18="No",IF(C38&lt;&gt;"",C38,'P-1'!part_capacity),MIN('P-1'!part_capacity,K29*'P-1'!good_parts_job))</f>
        <v>136934</v>
      </c>
      <c r="N60" s="228"/>
      <c r="O60" s="121"/>
      <c r="P60" s="276"/>
      <c r="Q60" s="121"/>
      <c r="R60" s="121"/>
      <c r="S60" s="121"/>
      <c r="T60" s="121"/>
      <c r="U60" s="121"/>
      <c r="V60" s="189"/>
      <c r="W60" s="121"/>
    </row>
    <row r="61" ht="14.25" hidden="1" customHeight="1" outlineLevel="1">
      <c r="B61" s="77" t="s">
        <v>47</v>
      </c>
      <c r="C61" s="230">
        <f>VLOOKUP($B61,Inputs!$B$6:$M$309,Inputs!L$1,0)</f>
        <v>1.16</v>
      </c>
      <c r="N61" s="228"/>
      <c r="O61" s="121"/>
      <c r="P61" s="276"/>
      <c r="Q61" s="121"/>
      <c r="R61" s="121"/>
      <c r="S61" s="121"/>
      <c r="T61" s="121"/>
      <c r="U61" s="121"/>
      <c r="V61" s="76"/>
    </row>
    <row r="62" ht="14.25" hidden="1" customHeight="1" outlineLevel="1">
      <c r="B62" s="77" t="s">
        <v>48</v>
      </c>
      <c r="C62" s="230">
        <f>VLOOKUP($B62,Inputs!$B$6:$M$309,Inputs!L$1,0)</f>
        <v>1.165</v>
      </c>
      <c r="N62" s="228"/>
      <c r="O62" s="121"/>
      <c r="P62" s="276"/>
      <c r="Q62" s="121"/>
      <c r="R62" s="121"/>
      <c r="S62" s="121"/>
      <c r="T62" s="121"/>
      <c r="W62" s="76"/>
    </row>
    <row r="63" ht="14.25" hidden="1" customHeight="1" outlineLevel="1">
      <c r="B63" s="77" t="s">
        <v>49</v>
      </c>
      <c r="C63" s="230">
        <f>VLOOKUP($B63,Inputs!$B$6:$M$309,Inputs!L$1,0)</f>
        <v>1.18</v>
      </c>
      <c r="N63" s="228"/>
      <c r="O63" s="121"/>
      <c r="P63" s="276"/>
      <c r="Q63" s="121"/>
      <c r="R63" s="121"/>
      <c r="S63" s="121"/>
      <c r="T63" s="121"/>
      <c r="W63" s="76"/>
    </row>
    <row r="64" ht="14.25" hidden="1" customHeight="1" outlineLevel="1">
      <c r="B64" s="77" t="s">
        <v>51</v>
      </c>
      <c r="C64" s="242">
        <f>VLOOKUP($B64,Inputs!$B$6:$M$309,Inputs!L$1,0)</f>
        <v>2.63</v>
      </c>
      <c r="D64" s="10" t="s">
        <v>52</v>
      </c>
      <c r="G64" s="76"/>
      <c r="N64" s="228"/>
      <c r="O64" s="121"/>
      <c r="P64" s="276"/>
      <c r="Q64" s="121"/>
      <c r="R64" s="121"/>
      <c r="S64" s="121"/>
      <c r="T64" s="121"/>
      <c r="V64" s="228"/>
      <c r="W64" s="121"/>
    </row>
    <row r="65" ht="14.25" hidden="1" customHeight="1" outlineLevel="1">
      <c r="B65" s="77" t="s">
        <v>373</v>
      </c>
      <c r="C65" s="193">
        <f>'P-1'!part_x*'P-1'!x_scale</f>
        <v>25.636</v>
      </c>
      <c r="D65" s="10" t="s">
        <v>55</v>
      </c>
      <c r="G65" s="76"/>
      <c r="N65" s="228"/>
      <c r="O65" s="121"/>
      <c r="P65" s="276"/>
      <c r="R65" s="76"/>
      <c r="V65" s="228"/>
      <c r="W65" s="121"/>
    </row>
    <row r="66" ht="14.25" hidden="1" customHeight="1" outlineLevel="1">
      <c r="B66" s="77" t="s">
        <v>374</v>
      </c>
      <c r="C66" s="193">
        <f>'P-1'!part_y*'P-1'!y_scale</f>
        <v>18.64</v>
      </c>
      <c r="D66" s="10" t="s">
        <v>55</v>
      </c>
      <c r="J66" s="297"/>
      <c r="K66" s="76"/>
      <c r="N66" s="228"/>
      <c r="O66" s="121"/>
      <c r="P66" s="276"/>
      <c r="S66" s="76"/>
      <c r="V66" s="228"/>
      <c r="W66" s="121"/>
    </row>
    <row r="67" ht="14.25" hidden="1" customHeight="1" outlineLevel="1">
      <c r="B67" s="77" t="s">
        <v>375</v>
      </c>
      <c r="C67" s="193">
        <f>'P-1'!part_z*'P-1'!z_scale</f>
        <v>18.88</v>
      </c>
      <c r="D67" s="10" t="s">
        <v>55</v>
      </c>
      <c r="N67" s="228"/>
      <c r="O67" s="121"/>
      <c r="P67" s="276"/>
      <c r="R67" s="228"/>
      <c r="S67" s="121"/>
      <c r="V67" s="228"/>
      <c r="W67" s="121"/>
    </row>
    <row r="68" ht="14.25" hidden="1" customHeight="1" outlineLevel="1">
      <c r="B68" s="77" t="s">
        <v>376</v>
      </c>
      <c r="C68" s="233">
        <f>'P-1'!part_vol*'P-1'!x_scale*'P-1'!y_scale*'P-1'!z_scale</f>
        <v>3902.113444</v>
      </c>
      <c r="D68" s="10" t="s">
        <v>223</v>
      </c>
      <c r="N68" s="228"/>
      <c r="O68" s="121"/>
      <c r="P68" s="276"/>
      <c r="R68" s="228"/>
      <c r="S68" s="121"/>
      <c r="V68" s="228"/>
      <c r="W68" s="121"/>
    </row>
    <row r="69" ht="14.25" hidden="1" customHeight="1" outlineLevel="1">
      <c r="B69" s="77" t="s">
        <v>377</v>
      </c>
      <c r="C69" s="233">
        <f>IF('P-1'!override_nesting="Yes",IF(OR(C22=0,C23=0),C19,C22),C19)</f>
        <v>27</v>
      </c>
      <c r="G69" s="76"/>
      <c r="R69" s="228"/>
      <c r="S69" s="121"/>
      <c r="V69" s="228"/>
      <c r="W69" s="121"/>
    </row>
    <row r="70" ht="14.25" hidden="1" customHeight="1" outlineLevel="1">
      <c r="B70" s="77" t="s">
        <v>58</v>
      </c>
      <c r="C70" s="298">
        <f>VLOOKUP($B70,Inputs!$B$6:$M$309,Inputs!L$1,0)</f>
        <v>0.6</v>
      </c>
      <c r="G70" s="76"/>
      <c r="R70" s="228"/>
      <c r="S70" s="121"/>
      <c r="V70" s="228"/>
      <c r="W70" s="121"/>
    </row>
    <row r="71" ht="14.25" hidden="1" customHeight="1" outlineLevel="1">
      <c r="B71" s="77" t="s">
        <v>54</v>
      </c>
      <c r="C71" s="234">
        <f>VLOOKUP($B71,Inputs!$B$6:$M$309,Inputs!L$1,0)</f>
        <v>200</v>
      </c>
      <c r="D71" s="10" t="s">
        <v>55</v>
      </c>
      <c r="G71" s="76"/>
      <c r="O71" s="231"/>
      <c r="R71" s="228"/>
      <c r="S71" s="121"/>
      <c r="V71" s="228"/>
      <c r="W71" s="121"/>
    </row>
    <row r="72" ht="14.25" hidden="1" customHeight="1" outlineLevel="1">
      <c r="B72" s="77" t="s">
        <v>56</v>
      </c>
      <c r="C72" s="234">
        <f>VLOOKUP($B72,Inputs!$B$6:$M$309,Inputs!L$1,0)</f>
        <v>100</v>
      </c>
      <c r="D72" s="10" t="s">
        <v>55</v>
      </c>
      <c r="G72" s="76"/>
      <c r="N72" s="228"/>
      <c r="O72" s="231"/>
      <c r="R72" s="228"/>
      <c r="S72" s="121"/>
      <c r="V72" s="228"/>
      <c r="W72" s="121"/>
    </row>
    <row r="73" ht="14.25" hidden="1" customHeight="1" outlineLevel="1">
      <c r="B73" s="77" t="s">
        <v>57</v>
      </c>
      <c r="C73" s="234">
        <f>VLOOKUP($B73,Inputs!$B$6:$M$309,Inputs!L$1,0)</f>
        <v>40</v>
      </c>
      <c r="D73" s="10" t="s">
        <v>55</v>
      </c>
      <c r="G73" s="76"/>
      <c r="N73" s="228"/>
      <c r="O73" s="231"/>
      <c r="R73" s="228"/>
      <c r="S73" s="121"/>
      <c r="V73" s="228"/>
      <c r="W73" s="121"/>
    </row>
    <row r="74" ht="14.25" hidden="1" customHeight="1" outlineLevel="1">
      <c r="B74" s="77" t="s">
        <v>378</v>
      </c>
      <c r="C74" s="119">
        <f>IF('P-1'!override_nesting="Yes",IF(OR(C22=0,C23=0),C20,C23),C20)</f>
        <v>22.88</v>
      </c>
      <c r="D74" s="10" t="s">
        <v>55</v>
      </c>
      <c r="G74" s="76"/>
      <c r="N74" s="228"/>
      <c r="O74" s="231"/>
      <c r="R74" s="228"/>
      <c r="S74" s="121"/>
      <c r="V74" s="228"/>
      <c r="W74" s="121"/>
    </row>
    <row r="75" ht="14.25" hidden="1" customHeight="1" outlineLevel="1">
      <c r="B75" s="77" t="s">
        <v>379</v>
      </c>
      <c r="C75" s="119">
        <f>'P-1'!build_x*'P-1'!build_y*'P-1'!build_height</f>
        <v>457600</v>
      </c>
      <c r="D75" s="10" t="s">
        <v>223</v>
      </c>
      <c r="G75" s="76"/>
      <c r="N75" s="228"/>
      <c r="O75" s="231"/>
      <c r="R75" s="228"/>
      <c r="S75" s="121"/>
      <c r="V75" s="228"/>
      <c r="W75" s="121"/>
    </row>
    <row r="76" ht="14.25" hidden="1" customHeight="1" outlineLevel="1">
      <c r="B76" s="77" t="s">
        <v>99</v>
      </c>
      <c r="C76" s="237">
        <f>VLOOKUP($B76,Inputs!$B$6:$M$309,Inputs!L$1,0)</f>
        <v>0.5</v>
      </c>
      <c r="D76" s="10" t="s">
        <v>81</v>
      </c>
      <c r="G76" s="76"/>
      <c r="N76" s="228"/>
      <c r="O76" s="231"/>
      <c r="R76" s="228"/>
      <c r="S76" s="121"/>
      <c r="V76" s="228"/>
      <c r="W76" s="121"/>
    </row>
    <row r="77" ht="14.25" hidden="1" customHeight="1" outlineLevel="1">
      <c r="B77" s="77" t="s">
        <v>100</v>
      </c>
      <c r="C77" s="237">
        <f>VLOOKUP($B77,Inputs!$B$6:$M$309,Inputs!L$1,0)</f>
        <v>0.5</v>
      </c>
      <c r="D77" s="10" t="s">
        <v>81</v>
      </c>
      <c r="G77" s="76"/>
      <c r="N77" s="228"/>
      <c r="O77" s="231"/>
      <c r="R77" s="228"/>
      <c r="S77" s="121"/>
      <c r="V77" s="228"/>
      <c r="W77" s="121"/>
    </row>
    <row r="78" ht="14.25" hidden="1" customHeight="1" outlineLevel="1">
      <c r="B78" s="77" t="s">
        <v>101</v>
      </c>
      <c r="C78" s="237">
        <f>VLOOKUP($B78,Inputs!$B$6:$M$309,Inputs!L$1,0)</f>
        <v>0.5</v>
      </c>
      <c r="D78" s="10" t="s">
        <v>81</v>
      </c>
      <c r="G78" s="76"/>
      <c r="N78" s="228"/>
      <c r="O78" s="231"/>
      <c r="R78" s="228"/>
      <c r="S78" s="121"/>
      <c r="V78" s="228"/>
      <c r="W78" s="121"/>
    </row>
    <row r="79" ht="14.25" hidden="1" customHeight="1" outlineLevel="1">
      <c r="B79" s="77" t="s">
        <v>102</v>
      </c>
      <c r="C79" s="237">
        <f>VLOOKUP($B79,Inputs!$B$6:$M$309,Inputs!L$1,0)</f>
        <v>0.5</v>
      </c>
      <c r="D79" s="10" t="s">
        <v>81</v>
      </c>
      <c r="G79" s="76"/>
      <c r="N79" s="228"/>
      <c r="O79" s="231"/>
      <c r="R79" s="228"/>
      <c r="S79" s="121"/>
      <c r="V79" s="228"/>
      <c r="W79" s="121"/>
    </row>
    <row r="80" ht="14.25" hidden="1" customHeight="1" outlineLevel="1">
      <c r="B80" s="77" t="s">
        <v>59</v>
      </c>
      <c r="C80" s="232">
        <f>VLOOKUP($B80,Inputs!$B$6:$M$309,Inputs!L$1,0)</f>
        <v>6</v>
      </c>
      <c r="G80" s="76"/>
      <c r="N80" s="228"/>
      <c r="O80" s="231"/>
      <c r="R80" s="228"/>
      <c r="S80" s="121"/>
      <c r="V80" s="228"/>
      <c r="W80" s="121"/>
    </row>
    <row r="81" ht="14.25" hidden="1" customHeight="1" outlineLevel="1">
      <c r="B81" s="77" t="s">
        <v>60</v>
      </c>
      <c r="C81" s="230">
        <f>VLOOKUP($B81,Inputs!$B$6:$M$309,Inputs!L$1,0)</f>
        <v>0.005</v>
      </c>
      <c r="G81" s="76"/>
      <c r="N81" s="228"/>
      <c r="O81" s="231"/>
      <c r="R81" s="228"/>
      <c r="S81" s="121"/>
      <c r="V81" s="228"/>
      <c r="W81" s="121"/>
    </row>
    <row r="82" ht="14.25" hidden="1" customHeight="1" outlineLevel="1">
      <c r="B82" s="77" t="s">
        <v>61</v>
      </c>
      <c r="C82" s="230">
        <f>VLOOKUP($B82,Inputs!$B$6:$M$309,Inputs!L$1,0)</f>
        <v>0.8</v>
      </c>
      <c r="G82" s="76"/>
      <c r="N82" s="228"/>
      <c r="O82" s="231"/>
      <c r="R82" s="228"/>
      <c r="S82" s="121"/>
      <c r="V82" s="228"/>
      <c r="W82" s="121"/>
    </row>
    <row r="83" ht="14.25" hidden="1" customHeight="1" outlineLevel="1">
      <c r="B83" s="77" t="s">
        <v>64</v>
      </c>
      <c r="C83" s="237">
        <f>VLOOKUP($B83,Inputs!$B$6:$M$309,Inputs!L$1,0)</f>
        <v>5</v>
      </c>
      <c r="D83" s="10" t="s">
        <v>65</v>
      </c>
      <c r="G83" s="76"/>
      <c r="N83" s="228"/>
      <c r="O83" s="231"/>
      <c r="R83" s="228"/>
      <c r="S83" s="121"/>
      <c r="V83" s="228"/>
      <c r="W83" s="121"/>
    </row>
    <row r="84" ht="14.25" hidden="1" customHeight="1" outlineLevel="1">
      <c r="B84" s="77" t="s">
        <v>62</v>
      </c>
      <c r="C84" s="234">
        <f>VLOOKUP($B84,Inputs!$B$6:$M$309,Inputs!L$1,0)</f>
        <v>50</v>
      </c>
      <c r="D84" s="10" t="s">
        <v>63</v>
      </c>
      <c r="N84" s="228"/>
      <c r="O84" s="231"/>
      <c r="R84" s="228"/>
      <c r="S84" s="121"/>
      <c r="V84" s="228"/>
      <c r="W84" s="121"/>
    </row>
    <row r="85" ht="14.25" hidden="1" customHeight="1" outlineLevel="1">
      <c r="B85" s="77" t="s">
        <v>91</v>
      </c>
      <c r="C85" s="234">
        <f>VLOOKUP($B85,Inputs!$B$6:$M$309,Inputs!L$1,0)</f>
        <v>2500</v>
      </c>
      <c r="D85" s="10" t="s">
        <v>95</v>
      </c>
      <c r="G85" s="76"/>
      <c r="N85" s="228"/>
      <c r="O85" s="231"/>
      <c r="R85" s="228"/>
      <c r="S85" s="121"/>
      <c r="V85" s="228"/>
      <c r="W85" s="121"/>
    </row>
    <row r="86" ht="14.25" hidden="1" customHeight="1" outlineLevel="1">
      <c r="B86" s="77"/>
      <c r="C86" s="119"/>
      <c r="G86" s="76"/>
      <c r="N86" s="228"/>
      <c r="O86" s="231"/>
      <c r="R86" s="228"/>
      <c r="S86" s="121"/>
      <c r="V86" s="228"/>
      <c r="W86" s="121"/>
    </row>
    <row r="87" ht="14.25" hidden="1" customHeight="1" outlineLevel="1">
      <c r="B87" s="77"/>
      <c r="C87" s="119"/>
      <c r="G87" s="76"/>
      <c r="N87" s="228"/>
      <c r="O87" s="231"/>
      <c r="R87" s="228"/>
      <c r="S87" s="121"/>
      <c r="V87" s="228"/>
      <c r="W87" s="121"/>
    </row>
    <row r="88" ht="14.25" hidden="1" customHeight="1" outlineLevel="1">
      <c r="B88" s="77" t="s">
        <v>69</v>
      </c>
      <c r="C88" s="232">
        <f>VLOOKUP($B88,Inputs!$B$6:$M$309,Inputs!L$1,0)</f>
        <v>8.5</v>
      </c>
      <c r="D88" s="10" t="s">
        <v>55</v>
      </c>
      <c r="G88" s="76"/>
      <c r="N88" s="228"/>
      <c r="O88" s="231"/>
      <c r="R88" s="228"/>
      <c r="S88" s="121"/>
      <c r="V88" s="228"/>
      <c r="W88" s="121"/>
    </row>
    <row r="89" ht="14.25" hidden="1" customHeight="1" outlineLevel="1">
      <c r="B89" s="77" t="s">
        <v>70</v>
      </c>
      <c r="C89" s="232">
        <f>VLOOKUP($B89,Inputs!$B$6:$M$309,Inputs!L$1,0)</f>
        <v>4</v>
      </c>
      <c r="D89" s="10" t="s">
        <v>55</v>
      </c>
      <c r="G89" s="76"/>
      <c r="N89" s="228"/>
      <c r="O89" s="231"/>
      <c r="R89" s="228"/>
      <c r="S89" s="121"/>
      <c r="V89" s="228"/>
      <c r="W89" s="121"/>
    </row>
    <row r="90" ht="14.25" hidden="1" customHeight="1" outlineLevel="1">
      <c r="B90" s="77" t="s">
        <v>71</v>
      </c>
      <c r="C90" s="232">
        <f>VLOOKUP($B90,Inputs!$B$6:$M$309,Inputs!L$1,0)</f>
        <v>1</v>
      </c>
      <c r="D90" s="10" t="s">
        <v>55</v>
      </c>
      <c r="G90" s="76"/>
      <c r="N90" s="228"/>
      <c r="O90" s="231"/>
      <c r="R90" s="228"/>
      <c r="S90" s="121"/>
      <c r="V90" s="228"/>
      <c r="W90" s="121"/>
    </row>
    <row r="91" ht="14.25" hidden="1" customHeight="1" outlineLevel="1">
      <c r="B91" s="77" t="s">
        <v>72</v>
      </c>
      <c r="C91" s="232">
        <f>VLOOKUP($B91,Inputs!$B$6:$M$309,Inputs!L$1,0)</f>
        <v>0.4</v>
      </c>
      <c r="D91" s="10" t="s">
        <v>55</v>
      </c>
      <c r="G91" s="76"/>
      <c r="N91" s="228"/>
      <c r="O91" s="231"/>
      <c r="R91" s="228"/>
      <c r="S91" s="121"/>
      <c r="V91" s="228"/>
      <c r="W91" s="121"/>
    </row>
    <row r="92" ht="14.25" hidden="1" customHeight="1" outlineLevel="1">
      <c r="B92" s="77" t="s">
        <v>80</v>
      </c>
      <c r="C92" s="232">
        <f>VLOOKUP($B92,Inputs!$B$6:$M$309,Inputs!L$1,0)</f>
        <v>4.5</v>
      </c>
      <c r="D92" s="10" t="s">
        <v>81</v>
      </c>
      <c r="G92" s="76"/>
      <c r="N92" s="228"/>
      <c r="O92" s="231"/>
      <c r="R92" s="228"/>
      <c r="S92" s="121"/>
      <c r="V92" s="228"/>
      <c r="W92" s="121"/>
    </row>
    <row r="93" ht="14.25" hidden="1" customHeight="1" outlineLevel="1">
      <c r="B93" s="77" t="s">
        <v>84</v>
      </c>
      <c r="C93" s="234">
        <f>VLOOKUP($B93,Inputs!$B$6:$M$309,Inputs!L$1,0)</f>
        <v>6</v>
      </c>
      <c r="N93" s="228"/>
      <c r="O93" s="231"/>
      <c r="R93" s="228"/>
      <c r="S93" s="121"/>
      <c r="V93" s="228"/>
      <c r="W93" s="121"/>
    </row>
    <row r="94" ht="14.25" hidden="1" customHeight="1" outlineLevel="1">
      <c r="B94" s="77"/>
      <c r="C94" s="274"/>
      <c r="N94" s="228"/>
      <c r="O94" s="231"/>
      <c r="R94" s="228"/>
      <c r="S94" s="121"/>
      <c r="V94" s="228"/>
      <c r="W94" s="121"/>
    </row>
    <row r="95" ht="14.25" hidden="1" customHeight="1" outlineLevel="1">
      <c r="B95" s="77"/>
      <c r="C95" s="274"/>
      <c r="N95" s="228"/>
      <c r="O95" s="231"/>
      <c r="R95" s="228"/>
      <c r="S95" s="121"/>
    </row>
    <row r="96" ht="14.25" hidden="1" customHeight="1" outlineLevel="1">
      <c r="B96" s="77"/>
      <c r="C96" s="274"/>
      <c r="N96" s="228"/>
      <c r="O96" s="231"/>
      <c r="R96" s="228"/>
      <c r="S96" s="121"/>
      <c r="V96" s="228"/>
      <c r="W96" s="121"/>
    </row>
    <row r="97" ht="14.25" hidden="1" customHeight="1" outlineLevel="1">
      <c r="B97" s="77" t="s">
        <v>385</v>
      </c>
      <c r="C97" s="125">
        <f>IF('P-1'!furnace_sel="Shop",IF(OR('P-1'!part_scale_x&gt;dm_furnace_x,'P-1'!part_scale_y&gt;dm_furnace_y),IF(AND('P-1'!part_scale_y&lt;=dm_furnace_x,'P-1'!part_scale_x&lt;=dm_furnace_y),'P-1'!part_scale_y,"N.A."),'P-1'!part_scale_x),IF(OR('P-1'!part_scale_x&gt;'P-1'!mim_furnace_x,'P-1'!part_scale_y&gt;'P-1'!mim_furnace_y),IF(AND('P-1'!part_scale_y&lt;='P-1'!mim_furnace_x,'P-1'!part_scale_x&lt;='P-1'!mim_furnace_y),'P-1'!part_scale_y,"N.A."),'P-1'!part_scale_x))</f>
        <v>25.636</v>
      </c>
      <c r="N97" s="228"/>
      <c r="O97" s="231"/>
      <c r="R97" s="228"/>
      <c r="S97" s="121"/>
      <c r="V97" s="228"/>
      <c r="W97" s="121"/>
    </row>
    <row r="98" ht="14.25" hidden="1" customHeight="1" outlineLevel="1">
      <c r="B98" s="77" t="s">
        <v>386</v>
      </c>
      <c r="C98" s="125">
        <f>IF(C97='P-1'!part_scale_x,'P-1'!part_scale_y,IF(C97='P-1'!part_scale_y,'P-1'!part_scale_x,"N.A."))</f>
        <v>18.64</v>
      </c>
      <c r="N98" s="228"/>
      <c r="O98" s="231"/>
      <c r="R98" s="228"/>
      <c r="S98" s="121"/>
      <c r="V98" s="228"/>
      <c r="W98" s="121"/>
    </row>
    <row r="99" ht="14.25" hidden="1" customHeight="1" outlineLevel="1">
      <c r="B99" s="77" t="s">
        <v>387</v>
      </c>
      <c r="C99" s="125">
        <f>IF(OR(C97="N.A.",C98="N.A."),"N.A.",'P-1'!part_scale_z)</f>
        <v>18.88</v>
      </c>
      <c r="G99" s="10" t="s">
        <v>488</v>
      </c>
      <c r="N99" s="228"/>
      <c r="O99" s="231"/>
      <c r="R99" s="228"/>
      <c r="S99" s="121"/>
    </row>
    <row r="100" ht="14.25" hidden="1" customHeight="1" outlineLevel="1">
      <c r="B100" s="77" t="s">
        <v>191</v>
      </c>
      <c r="C100" s="232">
        <f>VLOOKUP($B100,Inputs!$B$6:$M$309,Inputs!L$1,0)</f>
        <v>5</v>
      </c>
      <c r="D100" s="10" t="s">
        <v>55</v>
      </c>
      <c r="G100" s="10" t="s">
        <v>489</v>
      </c>
      <c r="N100" s="228"/>
      <c r="O100" s="231"/>
      <c r="R100" s="228"/>
      <c r="S100" s="121"/>
    </row>
    <row r="101" ht="14.25" hidden="1" customHeight="1" outlineLevel="1">
      <c r="B101" s="77" t="s">
        <v>192</v>
      </c>
      <c r="C101" s="232">
        <f>VLOOKUP($B101,Inputs!$B$6:$M$309,Inputs!L$1,0)</f>
        <v>2</v>
      </c>
      <c r="D101" s="10" t="s">
        <v>55</v>
      </c>
      <c r="N101" s="228"/>
      <c r="O101" s="231"/>
      <c r="R101" s="228"/>
      <c r="S101" s="121"/>
    </row>
    <row r="102" ht="14.25" hidden="1" customHeight="1" outlineLevel="1">
      <c r="B102" s="77" t="s">
        <v>190</v>
      </c>
      <c r="C102" s="232">
        <f>VLOOKUP($B102,Inputs!$B$6:$M$309,Inputs!L$1,0)</f>
        <v>2.6</v>
      </c>
      <c r="D102" s="10" t="s">
        <v>55</v>
      </c>
      <c r="N102" s="228"/>
      <c r="O102" s="231"/>
    </row>
    <row r="103" ht="14.25" hidden="1" customHeight="1" outlineLevel="1">
      <c r="B103" s="77"/>
      <c r="C103" s="159"/>
      <c r="N103" s="228"/>
      <c r="O103" s="231"/>
    </row>
    <row r="104" ht="14.25" hidden="1" customHeight="1" outlineLevel="1">
      <c r="B104" s="77"/>
      <c r="C104" s="159"/>
      <c r="N104" s="228"/>
      <c r="O104" s="231"/>
    </row>
    <row r="105" ht="14.25" hidden="1" customHeight="1" outlineLevel="1">
      <c r="B105" s="77"/>
      <c r="C105" s="159"/>
      <c r="N105" s="228"/>
      <c r="O105" s="231"/>
    </row>
    <row r="106" ht="14.25" hidden="1" customHeight="1" outlineLevel="1">
      <c r="B106" s="136" t="s">
        <v>381</v>
      </c>
      <c r="C106" s="291">
        <f>24*7*'P-1'!weeks_yr</f>
        <v>8064</v>
      </c>
      <c r="N106" s="228"/>
      <c r="O106" s="231"/>
      <c r="V106" s="228"/>
      <c r="W106" s="121"/>
    </row>
    <row r="107" ht="14.25" hidden="1" customHeight="1" outlineLevel="1">
      <c r="N107" s="228"/>
      <c r="O107" s="231"/>
      <c r="V107" s="228"/>
      <c r="W107" s="121"/>
    </row>
    <row r="108" ht="14.25" hidden="1" customHeight="1" outlineLevel="1">
      <c r="A108" s="10" t="s">
        <v>45</v>
      </c>
      <c r="B108" s="91" t="s">
        <v>443</v>
      </c>
      <c r="C108" s="229">
        <f>VLOOKUP('P-1'!furnace_sel,$B$126:$E$130,3,0)</f>
        <v>2</v>
      </c>
    </row>
    <row r="109" ht="14.25" hidden="1" customHeight="1" outlineLevel="1">
      <c r="B109" s="77" t="s">
        <v>444</v>
      </c>
      <c r="C109" s="299">
        <f>CHOOSE(C$108,305,420,420,420,999999,"N.A.")</f>
        <v>420</v>
      </c>
      <c r="D109" s="10" t="s">
        <v>55</v>
      </c>
      <c r="R109" s="228"/>
      <c r="S109" s="121"/>
    </row>
    <row r="110" ht="14.25" hidden="1" customHeight="1" outlineLevel="1">
      <c r="B110" s="77" t="s">
        <v>445</v>
      </c>
      <c r="C110" s="299">
        <f>CHOOSE(C$108,610,610,915,1524,999999,"N.A.")</f>
        <v>610</v>
      </c>
      <c r="D110" s="10" t="s">
        <v>55</v>
      </c>
      <c r="N110" s="228"/>
      <c r="O110" s="231"/>
      <c r="R110" s="228"/>
      <c r="S110" s="121"/>
    </row>
    <row r="111" ht="14.25" hidden="1" customHeight="1" outlineLevel="1">
      <c r="B111" s="77" t="s">
        <v>446</v>
      </c>
      <c r="C111" s="299">
        <f>CHOOSE(C$108,305,460,460,460,999999,"N.A.")</f>
        <v>460</v>
      </c>
      <c r="D111" s="10" t="s">
        <v>55</v>
      </c>
      <c r="N111" s="228"/>
      <c r="O111" s="231"/>
      <c r="R111" s="228"/>
      <c r="S111" s="121"/>
    </row>
    <row r="112" ht="14.25" hidden="1" customHeight="1" outlineLevel="1">
      <c r="B112" s="77" t="s">
        <v>447</v>
      </c>
      <c r="C112" s="300">
        <v>11.0</v>
      </c>
      <c r="N112" s="228"/>
      <c r="O112" s="231"/>
    </row>
    <row r="113" ht="14.25" hidden="1" customHeight="1" outlineLevel="1">
      <c r="B113" s="77" t="s">
        <v>448</v>
      </c>
      <c r="C113" s="301">
        <f>CHOOSE(C$108,18,20,22,26,24*7,"N.A.")</f>
        <v>20</v>
      </c>
      <c r="D113" s="10" t="s">
        <v>81</v>
      </c>
      <c r="N113" s="228"/>
      <c r="O113" s="231"/>
    </row>
    <row r="114" ht="14.25" hidden="1" customHeight="1" outlineLevel="1">
      <c r="B114" s="77" t="str">
        <f>IF('P-1'!furnace_sel="Continuous","MIM furnace utilities rate","MIM furnace gas consumption")</f>
        <v>MIM furnace gas consumption</v>
      </c>
      <c r="C114" s="299">
        <f>CHOOSE(C$108,660,1300,1700,2800,11.1,"N.A.")</f>
        <v>1300</v>
      </c>
      <c r="D114" s="10" t="str">
        <f>IF('P-1'!furnace_sel="Continuous","$/hr","L/hr")</f>
        <v>L/hr</v>
      </c>
      <c r="N114" s="228"/>
      <c r="O114" s="231"/>
    </row>
    <row r="115" ht="14.25" hidden="1" customHeight="1" outlineLevel="1">
      <c r="B115" s="136" t="str">
        <f>IF('P-1'!furnace_sel="Continuous","MIM furnace consumables rate","MIM furnace power consumption")</f>
        <v>MIM furnace power consumption</v>
      </c>
      <c r="C115" s="302">
        <f>CHOOSE(C$108,60,80,100,120,4.57,"N.A.")</f>
        <v>80</v>
      </c>
      <c r="D115" s="10" t="str">
        <f>IF('P-1'!furnace_sel="Continuous","$/hr","kW")</f>
        <v>kW</v>
      </c>
      <c r="N115" s="228"/>
      <c r="O115" s="231"/>
    </row>
    <row r="116" ht="14.25" hidden="1" customHeight="1" outlineLevel="1">
      <c r="N116" s="228"/>
      <c r="O116" s="231"/>
    </row>
    <row r="117" ht="14.25" hidden="1" customHeight="1" outlineLevel="1">
      <c r="A117" s="10" t="s">
        <v>45</v>
      </c>
      <c r="B117" s="96" t="s">
        <v>116</v>
      </c>
      <c r="C117" s="115"/>
      <c r="N117" s="228"/>
      <c r="O117" s="231"/>
    </row>
    <row r="118" ht="14.25" hidden="1" customHeight="1" outlineLevel="1">
      <c r="B118" s="77" t="s">
        <v>305</v>
      </c>
      <c r="C118" s="243" t="str">
        <f>VLOOKUP($B118,Inputs!$B$6:$M$309,Inputs!L$1,0)</f>
        <v>#N/A</v>
      </c>
      <c r="N118" s="228"/>
      <c r="O118" s="231"/>
    </row>
    <row r="119" ht="14.25" hidden="1" customHeight="1" outlineLevel="1">
      <c r="B119" s="77" t="s">
        <v>485</v>
      </c>
      <c r="C119" s="243" t="str">
        <f>VLOOKUP($B119,Inputs!$B$6:$M$309,Inputs!L$1,0)</f>
        <v>#N/A</v>
      </c>
    </row>
    <row r="120" ht="14.25" hidden="1" customHeight="1" outlineLevel="1">
      <c r="B120" s="77" t="s">
        <v>490</v>
      </c>
      <c r="C120" s="243" t="str">
        <f>VLOOKUP($B120,Inputs!$B$6:$M$309,Inputs!L$1,0)</f>
        <v>#N/A</v>
      </c>
      <c r="V120" s="228"/>
      <c r="W120" s="121"/>
    </row>
    <row r="121" ht="14.25" hidden="1" customHeight="1" outlineLevel="1">
      <c r="B121" s="77" t="s">
        <v>451</v>
      </c>
      <c r="C121" s="243" t="str">
        <f>VLOOKUP($B121,Inputs!$B$6:$M$309,Inputs!L$1,0)</f>
        <v>#N/A</v>
      </c>
      <c r="V121" s="228"/>
      <c r="W121" s="121"/>
    </row>
    <row r="122" ht="14.25" hidden="1" customHeight="1" outlineLevel="1">
      <c r="B122" s="77" t="s">
        <v>452</v>
      </c>
      <c r="C122" s="243" t="str">
        <f>VLOOKUP($B122,Inputs!$B$6:$M$309,Inputs!L$1,0)</f>
        <v>#N/A</v>
      </c>
      <c r="R122" s="228"/>
      <c r="S122" s="121"/>
    </row>
    <row r="123" ht="14.25" hidden="1" customHeight="1" outlineLevel="1">
      <c r="B123" s="77" t="s">
        <v>455</v>
      </c>
      <c r="C123" s="243" t="str">
        <f>VLOOKUP($B123,Inputs!$B$6:$M$309,Inputs!L$1,0)</f>
        <v>#N/A</v>
      </c>
      <c r="R123" s="228"/>
      <c r="S123" s="121"/>
    </row>
    <row r="124" ht="14.25" hidden="1" customHeight="1" outlineLevel="1">
      <c r="B124" s="77" t="s">
        <v>491</v>
      </c>
      <c r="C124" s="243" t="str">
        <f>VLOOKUP($B124,Inputs!$B$6:$M$309,Inputs!L$1,0)</f>
        <v>#N/A</v>
      </c>
      <c r="R124" s="228"/>
      <c r="S124" s="121"/>
    </row>
    <row r="125" ht="14.25" hidden="1" customHeight="1" outlineLevel="1">
      <c r="B125" s="77"/>
      <c r="C125" s="244"/>
      <c r="F125" s="9"/>
      <c r="N125" s="228"/>
      <c r="O125" s="231"/>
      <c r="R125" s="228"/>
      <c r="S125" s="121"/>
    </row>
    <row r="126" ht="14.25" hidden="1" customHeight="1" outlineLevel="1">
      <c r="B126" s="283">
        <v>2.0</v>
      </c>
      <c r="C126" s="243" t="str">
        <f>VLOOKUP($B126,Inputs!$B$6:$M$309,Inputs!L$1,0)</f>
        <v>#N/A</v>
      </c>
      <c r="D126" s="9">
        <v>1.0</v>
      </c>
      <c r="E126" s="124"/>
      <c r="N126" s="228"/>
      <c r="O126" s="231"/>
      <c r="R126" s="228"/>
      <c r="S126" s="121"/>
    </row>
    <row r="127" ht="14.25" hidden="1" customHeight="1" outlineLevel="1">
      <c r="B127" s="283">
        <v>4.0</v>
      </c>
      <c r="C127" s="243" t="str">
        <f>VLOOKUP($B127,Inputs!$B$6:$M$309,Inputs!L$1,0)</f>
        <v>#N/A</v>
      </c>
      <c r="D127" s="9">
        <f t="shared" ref="D127:D130" si="9">D126+1</f>
        <v>2</v>
      </c>
      <c r="E127" s="124"/>
      <c r="G127" s="124"/>
      <c r="N127" s="228"/>
      <c r="O127" s="231"/>
    </row>
    <row r="128" ht="14.25" hidden="1" customHeight="1" outlineLevel="1">
      <c r="B128" s="283">
        <v>6.0</v>
      </c>
      <c r="C128" s="243" t="str">
        <f>VLOOKUP($B128,Inputs!$B$6:$M$309,Inputs!L$1,0)</f>
        <v>#N/A</v>
      </c>
      <c r="D128" s="9">
        <f t="shared" si="9"/>
        <v>3</v>
      </c>
    </row>
    <row r="129" ht="14.25" hidden="1" customHeight="1" outlineLevel="1">
      <c r="B129" s="283">
        <v>12.0</v>
      </c>
      <c r="C129" s="243" t="str">
        <f>VLOOKUP($B129,Inputs!$B$6:$M$309,Inputs!L$1,0)</f>
        <v>#N/A</v>
      </c>
      <c r="D129" s="9">
        <f t="shared" si="9"/>
        <v>4</v>
      </c>
      <c r="E129" s="124"/>
      <c r="G129" s="124"/>
    </row>
    <row r="130" ht="14.25" hidden="1" customHeight="1" outlineLevel="1">
      <c r="B130" s="156" t="s">
        <v>176</v>
      </c>
      <c r="C130" s="243" t="str">
        <f>VLOOKUP($B130,Inputs!$B$6:$M$309,Inputs!L$1,0)</f>
        <v>#N/A</v>
      </c>
      <c r="D130" s="9">
        <f t="shared" si="9"/>
        <v>5</v>
      </c>
    </row>
    <row r="131" ht="14.25" hidden="1" customHeight="1" outlineLevel="1">
      <c r="B131" s="77" t="s">
        <v>456</v>
      </c>
      <c r="C131" s="243" t="str">
        <f>VLOOKUP($B131,Inputs!$B$6:$M$309,Inputs!L$1,0)</f>
        <v>#N/A</v>
      </c>
    </row>
    <row r="132" ht="14.25" hidden="1" customHeight="1" outlineLevel="1">
      <c r="B132" s="77" t="s">
        <v>457</v>
      </c>
      <c r="C132" s="243" t="str">
        <f>VLOOKUP($B132,Inputs!$B$6:$M$309,Inputs!L$1,0)</f>
        <v>#N/A</v>
      </c>
    </row>
    <row r="133" ht="14.25" hidden="1" customHeight="1" outlineLevel="1">
      <c r="B133" s="77" t="s">
        <v>458</v>
      </c>
      <c r="C133" s="243" t="str">
        <f>VLOOKUP($B133,Inputs!$B$6:$M$309,Inputs!L$1,0)</f>
        <v>#N/A</v>
      </c>
      <c r="V133" s="228"/>
      <c r="W133" s="121"/>
    </row>
    <row r="134" ht="14.25" hidden="1" customHeight="1" outlineLevel="1">
      <c r="B134" s="136" t="s">
        <v>459</v>
      </c>
      <c r="C134" s="303" t="str">
        <f>VLOOKUP($B134,Inputs!$B$6:$M$309,Inputs!L$1,0)</f>
        <v>#N/A</v>
      </c>
    </row>
    <row r="135" ht="14.25" hidden="1" customHeight="1" outlineLevel="1">
      <c r="R135" s="228"/>
      <c r="S135" s="121"/>
    </row>
    <row r="136" ht="14.25" hidden="1" customHeight="1" outlineLevel="1">
      <c r="A136" s="10" t="s">
        <v>45</v>
      </c>
      <c r="B136" s="91" t="s">
        <v>460</v>
      </c>
      <c r="C136" s="284">
        <v>4.0</v>
      </c>
      <c r="D136" s="10" t="s">
        <v>461</v>
      </c>
      <c r="E136" s="124"/>
      <c r="N136" s="228"/>
      <c r="O136" s="231"/>
      <c r="R136" s="228"/>
      <c r="S136" s="121"/>
    </row>
    <row r="137" ht="14.25" hidden="1" customHeight="1" outlineLevel="1">
      <c r="B137" s="77" t="s">
        <v>462</v>
      </c>
      <c r="C137" s="274">
        <v>4.0</v>
      </c>
      <c r="D137" s="10" t="s">
        <v>461</v>
      </c>
      <c r="E137" s="124"/>
      <c r="G137" s="124"/>
      <c r="N137" s="228"/>
      <c r="O137" s="231"/>
    </row>
    <row r="138" ht="14.25" hidden="1" customHeight="1" outlineLevel="1">
      <c r="B138" s="77" t="s">
        <v>463</v>
      </c>
      <c r="C138" s="274">
        <v>5.0</v>
      </c>
      <c r="D138" s="10" t="s">
        <v>461</v>
      </c>
    </row>
    <row r="139" ht="14.25" hidden="1" customHeight="1" outlineLevel="1">
      <c r="B139" s="77" t="s">
        <v>464</v>
      </c>
      <c r="C139" s="274">
        <v>10.0</v>
      </c>
      <c r="D139" s="10" t="s">
        <v>461</v>
      </c>
    </row>
    <row r="140" ht="14.25" hidden="1" customHeight="1" outlineLevel="1">
      <c r="B140" s="136" t="s">
        <v>465</v>
      </c>
      <c r="C140" s="285">
        <v>20.0</v>
      </c>
      <c r="D140" s="10" t="s">
        <v>461</v>
      </c>
    </row>
    <row r="141" ht="14.25" hidden="1" customHeight="1" outlineLevel="1">
      <c r="F141" s="9"/>
    </row>
    <row r="142" ht="14.25" hidden="1" customHeight="1" outlineLevel="1">
      <c r="B142" s="217" t="s">
        <v>393</v>
      </c>
      <c r="C142" s="245">
        <f t="array" ref="C142">INDEX(C143:C152,VLOOKUP(C41,B142:F152,5,0))</f>
        <v>0.00000896</v>
      </c>
      <c r="D142" s="10" t="s">
        <v>394</v>
      </c>
      <c r="F142" s="9"/>
    </row>
    <row r="143" ht="14.25" hidden="1" customHeight="1" outlineLevel="1">
      <c r="B143" s="77" t="s">
        <v>428</v>
      </c>
      <c r="C143" s="246">
        <v>7.74E-6</v>
      </c>
      <c r="D143" s="10" t="s">
        <v>394</v>
      </c>
      <c r="F143" s="9">
        <v>1.0</v>
      </c>
    </row>
    <row r="144" ht="14.25" hidden="1" customHeight="1" outlineLevel="1">
      <c r="B144" s="77" t="s">
        <v>466</v>
      </c>
      <c r="C144" s="246">
        <v>8.0E-6</v>
      </c>
      <c r="D144" s="10" t="s">
        <v>394</v>
      </c>
      <c r="F144" s="9">
        <f t="shared" ref="F144:F152" si="10">F143+1</f>
        <v>2</v>
      </c>
    </row>
    <row r="145" ht="14.25" hidden="1" customHeight="1" outlineLevel="1">
      <c r="B145" s="77" t="s">
        <v>149</v>
      </c>
      <c r="C145" s="246">
        <v>7.75E-6</v>
      </c>
      <c r="D145" s="10" t="s">
        <v>394</v>
      </c>
      <c r="F145" s="9">
        <f t="shared" si="10"/>
        <v>3</v>
      </c>
    </row>
    <row r="146" ht="14.25" hidden="1" customHeight="1" outlineLevel="1">
      <c r="B146" s="156">
        <v>4140.0</v>
      </c>
      <c r="C146" s="246">
        <v>7.85E-6</v>
      </c>
      <c r="D146" s="10" t="s">
        <v>394</v>
      </c>
      <c r="F146" s="9">
        <f t="shared" si="10"/>
        <v>4</v>
      </c>
    </row>
    <row r="147" ht="14.25" hidden="1" customHeight="1" outlineLevel="1">
      <c r="B147" s="77" t="s">
        <v>154</v>
      </c>
      <c r="C147" s="246">
        <v>1.04E-5</v>
      </c>
      <c r="D147" s="10" t="s">
        <v>394</v>
      </c>
      <c r="F147" s="9">
        <f t="shared" si="10"/>
        <v>5</v>
      </c>
    </row>
    <row r="148" ht="14.25" hidden="1" customHeight="1" outlineLevel="1">
      <c r="B148" s="77" t="s">
        <v>148</v>
      </c>
      <c r="C148" s="246">
        <v>1.56E-5</v>
      </c>
      <c r="D148" s="10" t="s">
        <v>394</v>
      </c>
      <c r="F148" s="9">
        <f t="shared" si="10"/>
        <v>6</v>
      </c>
    </row>
    <row r="149" ht="14.25" hidden="1" customHeight="1" outlineLevel="1">
      <c r="B149" s="77" t="s">
        <v>146</v>
      </c>
      <c r="C149" s="246">
        <v>8.96E-6</v>
      </c>
      <c r="D149" s="10" t="s">
        <v>394</v>
      </c>
      <c r="F149" s="9">
        <f t="shared" si="10"/>
        <v>7</v>
      </c>
    </row>
    <row r="150" ht="14.25" hidden="1" customHeight="1" outlineLevel="1">
      <c r="B150" s="77" t="s">
        <v>143</v>
      </c>
      <c r="C150" s="246">
        <v>2.7E-6</v>
      </c>
      <c r="D150" s="10" t="s">
        <v>394</v>
      </c>
      <c r="F150" s="9">
        <f t="shared" si="10"/>
        <v>8</v>
      </c>
    </row>
    <row r="151" ht="14.25" hidden="1" customHeight="1" outlineLevel="1">
      <c r="B151" s="77" t="s">
        <v>155</v>
      </c>
      <c r="C151" s="246">
        <v>4.42E-6</v>
      </c>
      <c r="D151" s="10" t="s">
        <v>394</v>
      </c>
      <c r="F151" s="9">
        <f t="shared" si="10"/>
        <v>9</v>
      </c>
    </row>
    <row r="152" ht="14.25" hidden="1" customHeight="1" outlineLevel="1">
      <c r="B152" s="136" t="s">
        <v>467</v>
      </c>
      <c r="C152" s="247">
        <v>8.3E-6</v>
      </c>
      <c r="D152" s="10" t="s">
        <v>394</v>
      </c>
      <c r="F152" s="9">
        <f t="shared" si="10"/>
        <v>10</v>
      </c>
    </row>
    <row r="153" ht="14.25" hidden="1" customHeight="1" outlineLevel="1">
      <c r="C153" s="124"/>
      <c r="F153" s="9"/>
    </row>
    <row r="154" ht="14.25" hidden="1" customHeight="1" outlineLevel="1">
      <c r="A154" s="10" t="s">
        <v>45</v>
      </c>
      <c r="B154" s="91" t="s">
        <v>428</v>
      </c>
      <c r="C154" s="286">
        <v>12.3</v>
      </c>
      <c r="D154" s="10" t="s">
        <v>349</v>
      </c>
      <c r="F154" s="9"/>
    </row>
    <row r="155" ht="14.25" hidden="1" customHeight="1" outlineLevel="1">
      <c r="B155" s="77" t="s">
        <v>466</v>
      </c>
      <c r="C155" s="277">
        <v>18.0</v>
      </c>
      <c r="D155" s="10" t="s">
        <v>349</v>
      </c>
      <c r="F155" s="9"/>
    </row>
    <row r="156" ht="14.25" hidden="1" customHeight="1" outlineLevel="1">
      <c r="B156" s="77" t="s">
        <v>149</v>
      </c>
      <c r="C156" s="277">
        <v>80.0</v>
      </c>
      <c r="D156" s="10" t="s">
        <v>349</v>
      </c>
      <c r="F156" s="9"/>
      <c r="G156" s="76"/>
    </row>
    <row r="157" ht="14.25" hidden="1" customHeight="1" outlineLevel="1">
      <c r="B157" s="156">
        <v>4140.0</v>
      </c>
      <c r="C157" s="277">
        <v>20.0</v>
      </c>
      <c r="D157" s="10" t="s">
        <v>349</v>
      </c>
      <c r="F157" s="9"/>
      <c r="G157" s="76"/>
    </row>
    <row r="158" ht="14.25" hidden="1" customHeight="1" outlineLevel="1">
      <c r="B158" s="77" t="s">
        <v>154</v>
      </c>
      <c r="C158" s="277">
        <v>1084.0</v>
      </c>
      <c r="D158" s="10" t="s">
        <v>349</v>
      </c>
      <c r="F158" s="9"/>
    </row>
    <row r="159" ht="14.25" hidden="1" customHeight="1" outlineLevel="1">
      <c r="B159" s="77" t="s">
        <v>148</v>
      </c>
      <c r="C159" s="277">
        <v>58407.0</v>
      </c>
      <c r="D159" s="10" t="s">
        <v>349</v>
      </c>
      <c r="F159" s="9"/>
    </row>
    <row r="160" ht="14.25" hidden="1" customHeight="1" outlineLevel="1">
      <c r="B160" s="77" t="s">
        <v>146</v>
      </c>
      <c r="C160" s="277">
        <v>38.0</v>
      </c>
      <c r="D160" s="10" t="s">
        <v>349</v>
      </c>
      <c r="F160" s="9"/>
      <c r="G160" s="76"/>
    </row>
    <row r="161" ht="14.25" hidden="1" customHeight="1" outlineLevel="1">
      <c r="B161" s="77" t="s">
        <v>143</v>
      </c>
      <c r="C161" s="277">
        <v>10.0</v>
      </c>
      <c r="D161" s="10" t="s">
        <v>349</v>
      </c>
      <c r="F161" s="9"/>
      <c r="G161" s="76"/>
    </row>
    <row r="162" ht="14.25" hidden="1" customHeight="1" outlineLevel="1">
      <c r="B162" s="77" t="s">
        <v>155</v>
      </c>
      <c r="C162" s="277">
        <v>200.0</v>
      </c>
      <c r="D162" s="10" t="s">
        <v>349</v>
      </c>
      <c r="F162" s="9"/>
    </row>
    <row r="163" ht="14.25" hidden="1" customHeight="1" outlineLevel="1">
      <c r="B163" s="77" t="s">
        <v>467</v>
      </c>
      <c r="C163" s="277">
        <v>0.0</v>
      </c>
      <c r="D163" s="10" t="s">
        <v>349</v>
      </c>
    </row>
    <row r="164" ht="14.25" hidden="1" customHeight="1" outlineLevel="1">
      <c r="B164" s="123"/>
      <c r="C164" s="123"/>
      <c r="F164" s="9"/>
    </row>
    <row r="165" ht="14.25" hidden="1" customHeight="1" outlineLevel="1">
      <c r="A165" s="10" t="s">
        <v>45</v>
      </c>
      <c r="B165" s="91" t="s">
        <v>395</v>
      </c>
      <c r="C165" s="252">
        <f>G9*'P-1'!total_builds_yr</f>
        <v>349.5076037</v>
      </c>
      <c r="D165" s="10" t="s">
        <v>95</v>
      </c>
      <c r="F165" s="9">
        <f>7*18.3*12</f>
        <v>1537.2</v>
      </c>
    </row>
    <row r="166" ht="14.25" hidden="1" customHeight="1" outlineLevel="1">
      <c r="B166" s="77" t="s">
        <v>396</v>
      </c>
      <c r="C166" s="277">
        <v>150.0</v>
      </c>
      <c r="D166" s="10" t="s">
        <v>353</v>
      </c>
      <c r="F166" s="9">
        <f>2*F165</f>
        <v>3074.4</v>
      </c>
    </row>
    <row r="167" ht="14.25" hidden="1" customHeight="1" outlineLevel="1">
      <c r="B167" s="77" t="s">
        <v>397</v>
      </c>
      <c r="C167" s="277">
        <v>125.0</v>
      </c>
      <c r="D167" s="10" t="s">
        <v>353</v>
      </c>
      <c r="F167" s="9"/>
    </row>
    <row r="168" ht="14.25" hidden="1" customHeight="1" outlineLevel="1">
      <c r="B168" s="77" t="s">
        <v>398</v>
      </c>
      <c r="C168" s="277">
        <v>100.0</v>
      </c>
      <c r="D168" s="10" t="s">
        <v>353</v>
      </c>
    </row>
    <row r="169" ht="14.25" customHeight="1" collapsed="1">
      <c r="B169" s="136" t="s">
        <v>399</v>
      </c>
      <c r="C169" s="168">
        <f>(MIN(binder_per_yr,F165)*C166+MAX(0,MIN(binder_per_yr,F166)-F165)*C167+MAX(0,binder_per_yr-F166)*C168)/binder_per_yr</f>
        <v>150</v>
      </c>
      <c r="D169" s="10" t="s">
        <v>353</v>
      </c>
    </row>
    <row r="170" ht="14.25" customHeight="1"/>
    <row r="171" ht="14.25" customHeight="1">
      <c r="H171" s="211"/>
    </row>
    <row r="172" ht="14.25" customHeight="1">
      <c r="H172" s="211"/>
    </row>
    <row r="173" ht="14.25" customHeight="1"/>
    <row r="174" ht="14.25" customHeight="1">
      <c r="H174" s="76"/>
    </row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G2"/>
  </mergeCells>
  <conditionalFormatting sqref="B18">
    <cfRule type="expression" dxfId="3" priority="1">
      <formula>$C$16="Continuous"</formula>
    </cfRule>
  </conditionalFormatting>
  <conditionalFormatting sqref="B13:C13">
    <cfRule type="expression" dxfId="3" priority="2">
      <formula>$C$14="P-1"</formula>
    </cfRule>
  </conditionalFormatting>
  <conditionalFormatting sqref="B16:C17 C18">
    <cfRule type="expression" dxfId="1" priority="3">
      <formula>$C$15="No"</formula>
    </cfRule>
  </conditionalFormatting>
  <conditionalFormatting sqref="B17:C17">
    <cfRule type="expression" dxfId="1" priority="4">
      <formula>$C$16="Continuous"</formula>
    </cfRule>
  </conditionalFormatting>
  <conditionalFormatting sqref="B19:C20">
    <cfRule type="expression" dxfId="1" priority="5">
      <formula>$C$21="Yes"</formula>
    </cfRule>
  </conditionalFormatting>
  <conditionalFormatting sqref="B22:C23">
    <cfRule type="expression" dxfId="1" priority="6">
      <formula>$C$21="No"</formula>
    </cfRule>
  </conditionalFormatting>
  <conditionalFormatting sqref="B38:C38">
    <cfRule type="expression" dxfId="5" priority="7">
      <formula>AND($C$18="Yes",$C$16="Shop")</formula>
    </cfRule>
  </conditionalFormatting>
  <conditionalFormatting sqref="C18">
    <cfRule type="expression" dxfId="1" priority="8">
      <formula>$C$16="Continuous"</formula>
    </cfRule>
  </conditionalFormatting>
  <conditionalFormatting sqref="C45">
    <cfRule type="expression" dxfId="0" priority="9">
      <formula>$C$47="EMEA"</formula>
    </cfRule>
  </conditionalFormatting>
  <conditionalFormatting sqref="J5:K18">
    <cfRule type="expression" dxfId="3" priority="10">
      <formula>$C$16="Continuous"</formula>
    </cfRule>
  </conditionalFormatting>
  <conditionalFormatting sqref="K31">
    <cfRule type="expression" dxfId="1" priority="11">
      <formula>$C$16="Shop"</formula>
    </cfRule>
  </conditionalFormatting>
  <conditionalFormatting sqref="K31">
    <cfRule type="cellIs" dxfId="2" priority="12" operator="greaterThan">
      <formula>1</formula>
    </cfRule>
  </conditionalFormatting>
  <conditionalFormatting sqref="K33">
    <cfRule type="expression" dxfId="6" priority="13">
      <formula>$C$16="Shop"</formula>
    </cfRule>
  </conditionalFormatting>
  <conditionalFormatting sqref="K47:K51">
    <cfRule type="expression" dxfId="0" priority="14">
      <formula>$C$47="EMEA"</formula>
    </cfRule>
  </conditionalFormatting>
  <dataValidations>
    <dataValidation type="list" allowBlank="1" showInputMessage="1" showErrorMessage="1" prompt="Select a model from the dropdown menu (P-50, P-1)." sqref="C14">
      <formula1>"P-1,P-50"</formula1>
    </dataValidation>
    <dataValidation type="list" allowBlank="1" showInputMessage="1" showErrorMessage="1" prompt="If using a Shop Furnace, choose whether to limit to qty 1 or allow multiple." sqref="C21">
      <formula1>"No,Yes"</formula1>
    </dataValidation>
    <dataValidation type="list" allowBlank="1" showErrorMessage="1" sqref="C46">
      <formula1>"APAC,NAM,EMEA"</formula1>
    </dataValidation>
    <dataValidation type="list" allowBlank="1" showErrorMessage="1" sqref="C13">
      <formula1>"Flex,Auto"</formula1>
    </dataValidation>
    <dataValidation type="list" allowBlank="1" showInputMessage="1" showErrorMessage="1" prompt="Select the debind type from the dropdown menu (integrated vs. separate air debind)." sqref="C17">
      <formula1>"Integrated,Separate"</formula1>
    </dataValidation>
    <dataValidation type="list" allowBlank="1" showInputMessage="1" showErrorMessage="1" prompt="If prospect only wants to evaluate process costs up to sintering, choose no. Otherwise choose yes." sqref="C15">
      <formula1>"Yes,No"</formula1>
    </dataValidation>
    <dataValidation type="list" allowBlank="1" showErrorMessage="1" sqref="C41">
      <formula1>$B$143:$B$151</formula1>
    </dataValidation>
    <dataValidation type="list" allowBlank="1" showInputMessage="1" showErrorMessage="1" prompt="Default is no. Choose yes to limit configuration to a single furnace of the chosen size." sqref="C18">
      <formula1>"No,Yes"</formula1>
    </dataValidation>
    <dataValidation type="list" allowBlank="1" showInputMessage="1" showErrorMessage="1" prompt="Select a furnace from the dropdown menu (MIM size)." sqref="C16">
      <formula1>"2,4,6,12,Continuous"</formula1>
    </dataValidation>
  </dataValidations>
  <printOptions/>
  <pageMargins bottom="0.75" footer="0.0" header="0.0" left="0.7" right="0.7" top="0.75"/>
  <pageSetup scale="28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.86"/>
    <col customWidth="1" min="2" max="2" width="30.86"/>
    <col customWidth="1" min="3" max="3" width="13.43"/>
    <col customWidth="1" min="4" max="4" width="6.86"/>
    <col customWidth="1" min="5" max="5" width="1.86"/>
    <col customWidth="1" min="6" max="6" width="30.86"/>
    <col customWidth="1" min="7" max="7" width="13.43"/>
    <col customWidth="1" min="8" max="8" width="6.86"/>
    <col customWidth="1" min="9" max="9" width="1.86"/>
    <col customWidth="1" min="10" max="10" width="30.86"/>
    <col customWidth="1" min="11" max="11" width="13.43"/>
    <col customWidth="1" min="12" max="12" width="6.86"/>
    <col customWidth="1" min="13" max="13" width="1.86"/>
    <col customWidth="1" min="14" max="14" width="11.43"/>
    <col customWidth="1" min="15" max="16" width="13.43"/>
    <col customWidth="1" min="17" max="17" width="5.86"/>
    <col customWidth="1" min="18" max="18" width="10.86"/>
    <col customWidth="1" min="19" max="19" width="13.43"/>
    <col customWidth="1" min="20" max="21" width="10.86"/>
    <col customWidth="1" min="22" max="22" width="10.43"/>
    <col customWidth="1" min="23" max="24" width="8.86"/>
    <col customWidth="1" min="25" max="25" width="11.14"/>
    <col customWidth="1" min="26" max="26" width="6.43"/>
    <col customWidth="1" min="27" max="29" width="8.86"/>
  </cols>
  <sheetData>
    <row r="1" ht="14.25" customHeight="1">
      <c r="G1" s="76"/>
      <c r="K1" s="76"/>
    </row>
    <row r="2" ht="14.25" customHeight="1">
      <c r="A2" s="10" t="s">
        <v>45</v>
      </c>
      <c r="B2" s="262" t="str">
        <f>Shop!B2</f>
        <v>#VALUE!</v>
      </c>
      <c r="C2" s="263"/>
      <c r="D2" s="263"/>
      <c r="E2" s="263"/>
      <c r="F2" s="264" t="s">
        <v>468</v>
      </c>
      <c r="G2" s="68"/>
      <c r="H2" s="263"/>
      <c r="I2" s="263"/>
      <c r="J2" s="263"/>
      <c r="K2" s="265" t="s">
        <v>215</v>
      </c>
      <c r="M2" s="10" t="s">
        <v>45</v>
      </c>
      <c r="N2" s="266" t="s">
        <v>469</v>
      </c>
      <c r="O2" s="263"/>
      <c r="P2" s="263"/>
      <c r="Q2" s="263"/>
      <c r="R2" s="263"/>
      <c r="S2" s="263"/>
      <c r="T2" s="267"/>
      <c r="U2" s="79"/>
      <c r="V2" s="79"/>
      <c r="W2" s="79"/>
      <c r="X2" s="79"/>
      <c r="Y2" s="79"/>
      <c r="Z2" s="79"/>
      <c r="AA2" s="79"/>
      <c r="AB2" s="115"/>
    </row>
    <row r="3" ht="14.25" customHeight="1">
      <c r="N3" s="77" t="s">
        <v>406</v>
      </c>
      <c r="P3" s="78">
        <f>G19+G34+G46+K41*'P-50 Base'!ppu_msrp</f>
        <v>2050000</v>
      </c>
      <c r="Q3" s="79"/>
      <c r="R3" s="10" t="str">
        <f>"Printed parts / "&amp;C14&amp;" build"</f>
        <v>Printed parts / P-50 build</v>
      </c>
      <c r="T3" s="80">
        <f>'P-50 Base'!parts_job</f>
        <v>819</v>
      </c>
      <c r="AB3" s="81"/>
    </row>
    <row r="4" ht="14.25" customHeight="1">
      <c r="A4" s="10" t="s">
        <v>45</v>
      </c>
      <c r="B4" s="86" t="s">
        <v>217</v>
      </c>
      <c r="C4" s="87"/>
      <c r="E4" s="10" t="s">
        <v>45</v>
      </c>
      <c r="F4" s="86" t="s">
        <v>218</v>
      </c>
      <c r="G4" s="87"/>
      <c r="I4" s="10" t="s">
        <v>45</v>
      </c>
      <c r="J4" s="86" t="s">
        <v>470</v>
      </c>
      <c r="K4" s="87"/>
      <c r="N4" s="77" t="str">
        <f>IF(C16="Shop","DM",IF('P-50 Base'!furnace_sel&lt;&gt;"Continuous",C16&amp;" cu ft MIM","Continuous"))&amp;" furnace MSRP"</f>
        <v>6 cu ft MIM furnace MSRP</v>
      </c>
      <c r="P4" s="78">
        <f>K33+K14</f>
        <v>3200000</v>
      </c>
      <c r="R4" s="10" t="s">
        <v>220</v>
      </c>
      <c r="T4" s="88">
        <f>G16</f>
        <v>0.1565666341</v>
      </c>
      <c r="AB4" s="81"/>
    </row>
    <row r="5" ht="14.25" customHeight="1">
      <c r="B5" s="91" t="s">
        <v>221</v>
      </c>
      <c r="C5" s="92">
        <v>40.0</v>
      </c>
      <c r="D5" s="10" t="s">
        <v>55</v>
      </c>
      <c r="F5" s="91" t="s">
        <v>222</v>
      </c>
      <c r="G5" s="93">
        <f>'P-50 Base'!part_vol_scale*'P-50 Base'!bed_density</f>
        <v>5230.401471</v>
      </c>
      <c r="H5" s="10" t="s">
        <v>223</v>
      </c>
      <c r="J5" s="91" t="s">
        <v>471</v>
      </c>
      <c r="K5" s="94">
        <f>K21</f>
        <v>6</v>
      </c>
      <c r="L5" s="10" t="s">
        <v>184</v>
      </c>
      <c r="N5" s="96" t="s">
        <v>225</v>
      </c>
      <c r="O5" s="96"/>
      <c r="P5" s="97">
        <f>SUM(P3:P4)</f>
        <v>5250000</v>
      </c>
      <c r="T5" s="98"/>
      <c r="AB5" s="81"/>
    </row>
    <row r="6" ht="14.25" customHeight="1">
      <c r="B6" s="77" t="s">
        <v>226</v>
      </c>
      <c r="C6" s="92">
        <v>40.0</v>
      </c>
      <c r="D6" s="10" t="s">
        <v>55</v>
      </c>
      <c r="F6" s="77" t="s">
        <v>227</v>
      </c>
      <c r="G6" s="101">
        <f>G5*'P-50 Base'!density_selected*1000</f>
        <v>41.84321177</v>
      </c>
      <c r="H6" s="10" t="s">
        <v>228</v>
      </c>
      <c r="J6" s="77" t="s">
        <v>239</v>
      </c>
      <c r="K6" s="110">
        <f t="shared" ref="K6:K7" si="1">K25</f>
        <v>1496</v>
      </c>
      <c r="N6" s="103" t="str">
        <f>C14&amp;" printers required"</f>
        <v>P-50 printers required</v>
      </c>
      <c r="O6" s="11"/>
      <c r="P6" s="104">
        <f>G10</f>
        <v>1</v>
      </c>
      <c r="R6" s="10" t="s">
        <v>229</v>
      </c>
      <c r="T6" s="105">
        <f>T8/'P-50 Base'!weeks_yr</f>
        <v>46.42081298</v>
      </c>
      <c r="AB6" s="81"/>
    </row>
    <row r="7" ht="14.25" customHeight="1">
      <c r="B7" s="77" t="s">
        <v>230</v>
      </c>
      <c r="C7" s="92">
        <v>15.0</v>
      </c>
      <c r="D7" s="10" t="s">
        <v>55</v>
      </c>
      <c r="F7" s="77" t="s">
        <v>231</v>
      </c>
      <c r="G7" s="108">
        <f>(G6*'P-50 Base'!parts_job)/1000+(('P-50 Base'!build_vol*'P-50 Base'!bed_density*'P-50 Base'!density_selected*'P-50 Base'!powder_ratio)-(G6*'P-50 Base'!parts_job)/1000)*'P-50 Base'!powder_loss_percentage</f>
        <v>35.54861179</v>
      </c>
      <c r="H7" s="10" t="s">
        <v>87</v>
      </c>
      <c r="J7" s="77" t="s">
        <v>243</v>
      </c>
      <c r="K7" s="110">
        <f t="shared" si="1"/>
        <v>600</v>
      </c>
      <c r="N7" s="103" t="s">
        <v>408</v>
      </c>
      <c r="P7" s="109">
        <f>IF('P-50 Base'!furnace_sel="Shop",K11,K31)</f>
        <v>4</v>
      </c>
      <c r="R7" s="10" t="s">
        <v>233</v>
      </c>
      <c r="T7" s="105">
        <f>T6*4</f>
        <v>185.6832519</v>
      </c>
      <c r="AB7" s="81"/>
    </row>
    <row r="8" ht="14.25" customHeight="1">
      <c r="B8" s="77" t="s">
        <v>234</v>
      </c>
      <c r="C8" s="92">
        <v>5466.607</v>
      </c>
      <c r="D8" s="10" t="s">
        <v>223</v>
      </c>
      <c r="F8" s="77" t="s">
        <v>235</v>
      </c>
      <c r="G8" s="110">
        <f>'P-50 Base'!part_vol_scale*(1-'P-50 Base'!bed_density)*'P-50 Base'!binder_void_ratio</f>
        <v>2440.85402</v>
      </c>
      <c r="H8" s="10" t="s">
        <v>223</v>
      </c>
      <c r="J8" s="77" t="s">
        <v>246</v>
      </c>
      <c r="K8" s="193">
        <f>6+K6/K7*1</f>
        <v>8.493333333</v>
      </c>
      <c r="L8" s="10" t="s">
        <v>81</v>
      </c>
      <c r="N8" s="77"/>
      <c r="R8" s="10" t="s">
        <v>236</v>
      </c>
      <c r="T8" s="105">
        <f>'P-50 Base'!total_builds_yr</f>
        <v>2228.199023</v>
      </c>
      <c r="AB8" s="81"/>
    </row>
    <row r="9" ht="14.25" customHeight="1">
      <c r="B9" s="77" t="s">
        <v>237</v>
      </c>
      <c r="C9" s="92"/>
      <c r="D9" s="10" t="s">
        <v>223</v>
      </c>
      <c r="F9" s="77" t="s">
        <v>238</v>
      </c>
      <c r="G9" s="112">
        <f>G8*'P-50 Base'!parts_job/10^6+('P-50 Base'!build_layers/C84)*'P-50 Base'!binder_purge_vol/1000</f>
        <v>2.752659442</v>
      </c>
      <c r="H9" s="10" t="s">
        <v>95</v>
      </c>
      <c r="J9" s="77" t="s">
        <v>249</v>
      </c>
      <c r="K9" s="193">
        <f>('P-50 Base'!good_parts_job/K6*K8)</f>
        <v>4.649759358</v>
      </c>
      <c r="L9" s="10" t="s">
        <v>81</v>
      </c>
      <c r="N9" s="114" t="s">
        <v>472</v>
      </c>
      <c r="T9" s="115"/>
      <c r="AB9" s="81"/>
    </row>
    <row r="10" ht="14.25" customHeight="1">
      <c r="B10" s="77" t="s">
        <v>241</v>
      </c>
      <c r="C10" s="117">
        <f>'P-50 Base'!part_only_vol+'P-50 Base'!support_vol</f>
        <v>5466.607</v>
      </c>
      <c r="D10" s="10" t="s">
        <v>223</v>
      </c>
      <c r="F10" s="77" t="s">
        <v>245</v>
      </c>
      <c r="G10" s="110">
        <f>ROUNDUP('P-50 Base'!part_req/'P-50 Base'!part_capacity,0)</f>
        <v>1</v>
      </c>
      <c r="H10" s="124"/>
      <c r="J10" s="77" t="s">
        <v>252</v>
      </c>
      <c r="K10" s="119">
        <f>ROUNDDOWN('P-50 Base'!total_hours_yr/K9,0)</f>
        <v>1734</v>
      </c>
      <c r="N10" s="91" t="s">
        <v>244</v>
      </c>
      <c r="O10" s="115"/>
      <c r="P10" s="120">
        <f>P32+P33+P35+P36</f>
        <v>1.267055149</v>
      </c>
      <c r="Q10" s="121"/>
      <c r="R10" s="10" t="str">
        <f>IF($C$15="Yes","Sintered","Green")&amp;" parts / week"</f>
        <v>Sintered parts / week</v>
      </c>
      <c r="T10" s="80">
        <f>T12/'P-50 Base'!weeks_yr</f>
        <v>38018.64583</v>
      </c>
      <c r="AB10" s="81"/>
    </row>
    <row r="11" ht="14.25" customHeight="1">
      <c r="B11" s="123"/>
      <c r="C11" s="123"/>
      <c r="F11" s="77" t="s">
        <v>248</v>
      </c>
      <c r="G11" s="119">
        <f>'P-50 Base'!part_req/'P-50 Base'!good_parts_job*'P-50 Base'!print_time_trn</f>
        <v>8064.000812</v>
      </c>
      <c r="H11" s="10" t="s">
        <v>81</v>
      </c>
      <c r="J11" s="77" t="s">
        <v>255</v>
      </c>
      <c r="K11" s="119">
        <f>K30</f>
        <v>1220</v>
      </c>
      <c r="N11" s="77" t="str">
        <f>IF(C15="Yes","Sintered","Green")&amp;" part cost"</f>
        <v>Sintered part cost</v>
      </c>
      <c r="O11" s="81"/>
      <c r="P11" s="126">
        <f>T37-T34</f>
        <v>1.730836833</v>
      </c>
      <c r="Q11" s="121"/>
      <c r="R11" s="10" t="str">
        <f>IF($C$15="Yes","Sintered","Green")&amp;" parts / month"</f>
        <v>Sintered parts / month</v>
      </c>
      <c r="T11" s="105">
        <f>T10*4</f>
        <v>152074.5833</v>
      </c>
      <c r="AB11" s="81"/>
    </row>
    <row r="12" ht="14.25" customHeight="1">
      <c r="A12" s="10" t="s">
        <v>45</v>
      </c>
      <c r="B12" s="86" t="s">
        <v>247</v>
      </c>
      <c r="C12" s="87"/>
      <c r="F12" s="77" t="s">
        <v>251</v>
      </c>
      <c r="G12" s="119">
        <f>'P-50 Base'!part_req/'P-50 Base'!good_parts_job</f>
        <v>2228.199023</v>
      </c>
      <c r="J12" s="77" t="s">
        <v>473</v>
      </c>
      <c r="K12" s="119">
        <f>ROUNDUP('P-50 Base'!total_builds_yr/K10,0)</f>
        <v>2</v>
      </c>
      <c r="N12" s="91" t="str">
        <f t="shared" ref="N12:N13" si="2">N10&amp;" / cc"</f>
        <v>Printed part cost / cc</v>
      </c>
      <c r="O12" s="131"/>
      <c r="P12" s="120">
        <f>P10/'P-50 Base'!part_only_vol*10^3</f>
        <v>0.2317809107</v>
      </c>
      <c r="Q12" s="121"/>
      <c r="R12" s="10" t="str">
        <f>IF($C$15="Yes","Sintered","Green")&amp;" parts / year"</f>
        <v>Sintered parts / year</v>
      </c>
      <c r="T12" s="132">
        <f>'P-50 Base'!part_req</f>
        <v>1824895</v>
      </c>
      <c r="AB12" s="81"/>
    </row>
    <row r="13" ht="14.25" customHeight="1">
      <c r="B13" s="77" t="s">
        <v>474</v>
      </c>
      <c r="C13" s="148" t="s">
        <v>475</v>
      </c>
      <c r="F13" s="77" t="s">
        <v>254</v>
      </c>
      <c r="G13" s="119">
        <f>G12/12</f>
        <v>185.6832519</v>
      </c>
      <c r="J13" s="77" t="s">
        <v>476</v>
      </c>
      <c r="K13" s="119">
        <f>K8*K11</f>
        <v>10361.86667</v>
      </c>
      <c r="L13" s="10" t="s">
        <v>81</v>
      </c>
      <c r="N13" s="136" t="str">
        <f t="shared" si="2"/>
        <v>Sintered part cost / cc</v>
      </c>
      <c r="O13" s="137"/>
      <c r="P13" s="269">
        <f>P11/'P-50 Base'!part_only_vol*10^3</f>
        <v>0.3166199496</v>
      </c>
      <c r="Q13" s="121"/>
      <c r="T13" s="119"/>
      <c r="X13" s="171"/>
      <c r="Y13" s="171"/>
      <c r="Z13" s="171"/>
      <c r="AA13" s="171"/>
      <c r="AB13" s="288"/>
    </row>
    <row r="14" ht="14.25" customHeight="1">
      <c r="B14" s="224" t="s">
        <v>414</v>
      </c>
      <c r="C14" s="148" t="s">
        <v>492</v>
      </c>
      <c r="F14" s="77" t="s">
        <v>257</v>
      </c>
      <c r="G14" s="144">
        <f>G11/('P-50 Base'!avail_hours_yr*G10)</f>
        <v>1.000000101</v>
      </c>
      <c r="J14" s="77" t="s">
        <v>478</v>
      </c>
      <c r="K14" s="158">
        <f>OFFSET(C131,'P-50 Base'!furnace_index-1,)*K12</f>
        <v>400000</v>
      </c>
      <c r="N14" s="77"/>
      <c r="P14" s="124"/>
      <c r="Q14" s="121"/>
      <c r="R14" s="10" t="str">
        <f>"Printer util (QTY: "&amp;G10&amp;")"</f>
        <v>Printer util (QTY: 1)</v>
      </c>
      <c r="T14" s="141">
        <f>G14</f>
        <v>1.000000101</v>
      </c>
      <c r="V14" s="11"/>
      <c r="AB14" s="81"/>
    </row>
    <row r="15" ht="14.25" customHeight="1">
      <c r="B15" s="77" t="s">
        <v>256</v>
      </c>
      <c r="C15" s="148" t="s">
        <v>67</v>
      </c>
      <c r="F15" s="77" t="s">
        <v>260</v>
      </c>
      <c r="G15" s="144">
        <f>G11/(24*7*52*G10)</f>
        <v>0.923077016</v>
      </c>
      <c r="J15" s="77" t="s">
        <v>479</v>
      </c>
      <c r="K15" s="158">
        <f>K14/'P-50 Base'!furnace_depr+OFFSET(C136,'P-50 Base'!furnace_index-1,)*K12*'P-50 Base'!floor_rate</f>
        <v>41600</v>
      </c>
      <c r="N15" s="114" t="s">
        <v>480</v>
      </c>
      <c r="P15" s="10"/>
      <c r="Q15" s="121"/>
      <c r="R15" s="10" t="str">
        <f>"Crosslink util (QTY: "&amp;1&amp;")"</f>
        <v>Crosslink util (QTY: 1)</v>
      </c>
      <c r="T15" s="145">
        <f>G33/('P-50 Base'!total_hours_yr*'P-50 Base'!uptime)</f>
        <v>5.274416091</v>
      </c>
      <c r="AB15" s="81"/>
    </row>
    <row r="16" ht="14.25" customHeight="1">
      <c r="B16" s="77" t="s">
        <v>224</v>
      </c>
      <c r="C16" s="148">
        <v>6.0</v>
      </c>
      <c r="D16" s="95" t="str">
        <f>IF(C16="Shop",,"ft3")</f>
        <v>ft3</v>
      </c>
      <c r="F16" s="77" t="s">
        <v>314</v>
      </c>
      <c r="G16" s="150">
        <f>'P-50 Base'!part_vol_scale*'P-50 Base'!parts_job/'P-50 Base'!build_vol</f>
        <v>0.1565666341</v>
      </c>
      <c r="J16" s="77" t="s">
        <v>286</v>
      </c>
      <c r="K16" s="159">
        <f>IF('P-50 Base'!furnace_sel="Continuous",0,K13/('P-50 Base'!total_hours_yr*K12)*K15/'P-50 Base'!part_req)</f>
        <v>0.01464579444</v>
      </c>
      <c r="N16" s="91" t="s">
        <v>244</v>
      </c>
      <c r="O16" s="115"/>
      <c r="P16" s="120">
        <f>SUM(P32:P36)</f>
        <v>1.336507919</v>
      </c>
      <c r="Q16" s="121"/>
      <c r="R16" s="10" t="str">
        <f>"Depowder util (QTY: "&amp;G44&amp;")"</f>
        <v>Depowder util (QTY: 1)</v>
      </c>
      <c r="T16" s="145">
        <f>G45/('P-50 Base'!avail_hours_yr*G44*'P-50 Base'!uptime)</f>
        <v>0.8924953925</v>
      </c>
      <c r="AB16" s="81"/>
    </row>
    <row r="17" ht="14.25" customHeight="1">
      <c r="B17" s="77" t="s">
        <v>417</v>
      </c>
      <c r="C17" s="148" t="s">
        <v>263</v>
      </c>
      <c r="D17" s="95"/>
      <c r="F17" s="123"/>
      <c r="G17" s="270"/>
      <c r="J17" s="77" t="s">
        <v>277</v>
      </c>
      <c r="K17" s="159">
        <f>IF('P-50 Base'!furnace_sel="Continuous",0,'P-50 Base'!labor_rate*K11*(K8-6)/'P-50 Base'!part_req)</f>
        <v>0.03333744316</v>
      </c>
      <c r="N17" s="77" t="str">
        <f>IF(C15="Yes","Sintered","Green")&amp;" part cost"</f>
        <v>Sintered part cost</v>
      </c>
      <c r="P17" s="126">
        <f>T45</f>
        <v>2.000504133</v>
      </c>
      <c r="Q17" s="121"/>
      <c r="R17" s="10" t="str">
        <f>"Furnace util (QTY: "&amp;IF('P-50 Base'!furnace_sel="Shop",K11,K31)&amp;")"</f>
        <v>Furnace util (QTY: 4)</v>
      </c>
      <c r="T17" s="88">
        <f>K32/('P-50 Base'!total_hours_yr*K31*'P-50 Base'!uptime)</f>
        <v>0.9263971561</v>
      </c>
      <c r="AB17" s="81"/>
    </row>
    <row r="18" ht="14.25" customHeight="1">
      <c r="B18" s="77" t="s">
        <v>266</v>
      </c>
      <c r="C18" s="167" t="s">
        <v>68</v>
      </c>
      <c r="D18" s="95"/>
      <c r="E18" s="10" t="s">
        <v>45</v>
      </c>
      <c r="F18" s="86" t="s">
        <v>269</v>
      </c>
      <c r="G18" s="87"/>
      <c r="J18" s="136" t="s">
        <v>281</v>
      </c>
      <c r="K18" s="168">
        <f>IF('P-50 Base'!furnace_sel="Continuous",0,('P-50 Base'!furnace_gas_cons*'P-50 Base'!nitrogen_rate+'P-50 Base'!furnace_power_cons*'P-50 Base'!power_rate)*(K13-K6/K7*2*K11))/'P-50 Base'!part_req</f>
        <v>0.03211715012</v>
      </c>
      <c r="N18" s="91" t="s">
        <v>267</v>
      </c>
      <c r="O18" s="153"/>
      <c r="P18" s="120">
        <f>P16/'P-50 Base'!part_only_vol*10^3</f>
        <v>0.2444858244</v>
      </c>
      <c r="Q18" s="121"/>
      <c r="T18" s="81"/>
      <c r="AB18" s="81"/>
    </row>
    <row r="19" ht="14.25" customHeight="1">
      <c r="B19" s="77" t="s">
        <v>418</v>
      </c>
      <c r="C19" s="110">
        <f>MAX(ROUNDDOWN(('P-50 Base'!build_x-'P-50 Base'!printer_xy_border*2+'P-50 Base'!printer_xy_spacing)/('P-50 Base'!part_scale_x+'P-50 Base'!printer_xy_spacing),0)*ROUNDDOWN(('P-50 Base'!build_y-'P-50 Base'!printer_xy_border*2+'P-50 Base'!printer_xy_spacing)/('P-50 Base'!part_scale_y+'P-50 Base'!printer_xy_spacing),0),ROUNDDOWN(('P-50 Base'!build_x-'P-50 Base'!printer_xy_border*2+'P-50 Base'!printer_xy_spacing)/('P-50 Base'!part_scale_y+'P-50 Base'!printer_xy_spacing),0)*ROUNDDOWN(('P-50 Base'!build_y-'P-50 Base'!printer_xy_border*2+'P-50 Base'!printer_xy_spacing)/('P-50 Base'!part_scale_x+'P-50 Base'!printer_xy_spacing),0))*ROUNDDOWN(('P-50 Base'!build_z-'P-50 Base'!printer_z_base+'P-50 Base'!printer_z_spacing)/('P-50 Base'!part_scale_z+'P-50 Base'!printer_z_spacing),0)</f>
        <v>819</v>
      </c>
      <c r="F19" s="77" t="s">
        <v>273</v>
      </c>
      <c r="G19" s="158">
        <f>G10*'P-50 Base'!printer_msrp+ROUNDUP(('P-50 Base'!print_time_trn+G30+G42)/('P-50 Base'!avail_hours_yr/'P-50 Base'!total_builds_yr),0)*'P-50 Base'!buildbox_msrp</f>
        <v>1250000</v>
      </c>
      <c r="K19" s="10"/>
      <c r="N19" s="289" t="str">
        <f>IF(C15="Yes","Sintered","Green")&amp;" part cost / cc"</f>
        <v>Sintered part cost / cc</v>
      </c>
      <c r="O19" s="290"/>
      <c r="P19" s="269">
        <f>P17/'P-50 Base'!part_only_vol*10^3</f>
        <v>0.3659498723</v>
      </c>
      <c r="Q19" s="187"/>
      <c r="R19" s="187" t="s">
        <v>271</v>
      </c>
      <c r="S19" s="187"/>
      <c r="T19" s="291">
        <f>print_trnaround*'P-50 Base'!total_builds_yr+0.5*'P-50 Base'!total_builds_yr/2+G45+(K27-'P-50 Base'!furnace_time_cycle)*K30+IF('P-50 Base'!furnace_sel&lt;&gt;"Continuous",(K8-6)*K11,0)</f>
        <v>14951.96545</v>
      </c>
      <c r="AB19" s="81"/>
    </row>
    <row r="20" ht="14.25" customHeight="1">
      <c r="B20" s="77" t="s">
        <v>378</v>
      </c>
      <c r="C20" s="119">
        <f>'P-50 Base'!printer_z_base+('P-50 Base'!part_scale_z)*ROUNDDOWN(('P-50 Base'!build_z-'P-50 Base'!printer_z_base+'P-50 Base'!printer_z_spacing)/('P-50 Base'!part_scale_z+'P-50 Base'!printer_z_spacing),0)+'P-50 Base'!printer_z_spacing*(ROUNDDOWN(('P-50 Base'!build_z-'P-50 Base'!printer_z_base+'P-50 Base'!printer_z_spacing)/('P-50 Base'!part_scale_z+'P-50 Base'!printer_z_spacing),0)-1)</f>
        <v>244.9</v>
      </c>
      <c r="D20" s="10" t="s">
        <v>55</v>
      </c>
      <c r="F20" s="77" t="str">
        <f>"Annual depreciation (@ "&amp;'P-50 Base'!dm_depr&amp;" yrs)"</f>
        <v>Annual depreciation (@ 10 yrs)</v>
      </c>
      <c r="G20" s="158">
        <f>G19/'P-50 Base'!dm_depr+(5*1.9+1.4*1)*G10*'P-50 Base'!floor_rate</f>
        <v>126744</v>
      </c>
      <c r="I20" s="10" t="s">
        <v>45</v>
      </c>
      <c r="J20" s="86" t="s">
        <v>419</v>
      </c>
      <c r="K20" s="87"/>
      <c r="N20" s="160" t="s">
        <v>275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115"/>
    </row>
    <row r="21" ht="14.25" customHeight="1">
      <c r="B21" s="77" t="s">
        <v>279</v>
      </c>
      <c r="C21" s="167" t="s">
        <v>68</v>
      </c>
      <c r="F21" s="77" t="s">
        <v>280</v>
      </c>
      <c r="G21" s="159">
        <f>(G7*IF(OR('P-50 Base'!powder_price="",'P-50 Base'!powder_price=0),'P-50 Base'!powder_default_price,'P-50 Base'!powder_price)/'P-50 Base'!good_parts_job)</f>
        <v>0.7812881713</v>
      </c>
      <c r="J21" s="91" t="s">
        <v>481</v>
      </c>
      <c r="K21" s="94">
        <f>C16</f>
        <v>6</v>
      </c>
      <c r="L21" s="95" t="str">
        <f>IF(OR('P-50 Base'!furnace_sel="Shop",'P-50 Base'!furnace_sel="Continuous"),,"ft3")</f>
        <v>ft3</v>
      </c>
      <c r="N21" s="164" t="s">
        <v>278</v>
      </c>
      <c r="O21" s="165"/>
      <c r="Q21" s="165"/>
      <c r="R21" s="165"/>
      <c r="S21" s="165"/>
      <c r="T21" s="165"/>
      <c r="U21" s="165"/>
      <c r="AB21" s="81"/>
    </row>
    <row r="22" ht="14.25" customHeight="1">
      <c r="B22" s="77" t="s">
        <v>282</v>
      </c>
      <c r="C22" s="169">
        <v>0.0</v>
      </c>
      <c r="F22" s="77" t="s">
        <v>283</v>
      </c>
      <c r="G22" s="159">
        <f>G9*'P-50 Base'!binder_weighted_price/'P-50 Base'!good_parts_job</f>
        <v>0.3992762916</v>
      </c>
      <c r="J22" s="77" t="s">
        <v>180</v>
      </c>
      <c r="K22" s="172">
        <f>IF('P-50 Base'!furnace_sel="Continuous","N.A.",C109)</f>
        <v>420</v>
      </c>
      <c r="L22" s="10" t="s">
        <v>55</v>
      </c>
      <c r="N22" s="164" t="str">
        <f>"2. DM Equipment MSRP includes "&amp;ROUNDUP(('P-50 Base'!print_time_trn+G30+G42)/('P-50 Base'!avail_hours_yr/'P-50 Base'!total_builds_yr),0)&amp;" build boxes &amp; transfer cart."</f>
        <v>2. DM Equipment MSRP includes 13 build boxes &amp; transfer cart.</v>
      </c>
      <c r="Q22" s="165"/>
      <c r="R22" s="165"/>
      <c r="S22" s="165"/>
      <c r="T22" s="165"/>
      <c r="U22" s="165"/>
      <c r="AB22" s="81"/>
      <c r="AC22" s="165"/>
    </row>
    <row r="23" ht="14.25" customHeight="1">
      <c r="B23" s="77" t="s">
        <v>285</v>
      </c>
      <c r="C23" s="170">
        <v>0.0</v>
      </c>
      <c r="D23" s="10" t="s">
        <v>55</v>
      </c>
      <c r="F23" s="77" t="s">
        <v>286</v>
      </c>
      <c r="G23" s="159">
        <f>G11/('P-50 Base'!avail_hours_yr*G10)*G20/'P-50 Base'!part_req</f>
        <v>0.06945277003</v>
      </c>
      <c r="J23" s="77" t="s">
        <v>181</v>
      </c>
      <c r="K23" s="172">
        <f>IF('P-50 Base'!furnace_sel="Continuous","N.A.",C110)</f>
        <v>915</v>
      </c>
      <c r="L23" s="10" t="s">
        <v>55</v>
      </c>
      <c r="N23" s="164" t="str">
        <f>"3. Consumables includes printheads"&amp;IF('P-50 Base'!furnace_sel="Continuous"," and continuous furnace items.",".")</f>
        <v>3. Consumables includes printheads.</v>
      </c>
      <c r="O23" s="165"/>
      <c r="Q23" s="165"/>
      <c r="R23" s="165"/>
      <c r="S23" s="165"/>
      <c r="T23" s="165"/>
      <c r="U23" s="165"/>
      <c r="AB23" s="81"/>
      <c r="AC23" s="165"/>
    </row>
    <row r="24" ht="14.25" customHeight="1">
      <c r="B24" s="77" t="s">
        <v>292</v>
      </c>
      <c r="C24" s="112">
        <v>0.065</v>
      </c>
      <c r="D24" s="10" t="s">
        <v>55</v>
      </c>
      <c r="F24" s="77" t="s">
        <v>290</v>
      </c>
      <c r="G24" s="159">
        <f>(G9/'P-50 Base'!printhead_life*'P-50 Base'!printhead_msrp)/'P-50 Base'!good_parts_job</f>
        <v>0.06453121037</v>
      </c>
      <c r="H24" s="124"/>
      <c r="J24" s="77" t="s">
        <v>182</v>
      </c>
      <c r="K24" s="172">
        <f>IF('P-50 Base'!furnace_sel="Continuous","N.A.",C111)</f>
        <v>460</v>
      </c>
      <c r="L24" s="10" t="s">
        <v>55</v>
      </c>
      <c r="N24" s="164" t="s">
        <v>288</v>
      </c>
      <c r="O24" s="171"/>
      <c r="Q24" s="165"/>
      <c r="R24" s="165"/>
      <c r="S24" s="165"/>
      <c r="T24" s="165"/>
      <c r="U24" s="165"/>
      <c r="AB24" s="81"/>
      <c r="AC24" s="165"/>
    </row>
    <row r="25" ht="14.25" customHeight="1">
      <c r="B25" s="77" t="s">
        <v>420</v>
      </c>
      <c r="C25" s="110">
        <f>ROUNDUP('P-50 Base'!build_height/C24,0)</f>
        <v>3768</v>
      </c>
      <c r="F25" s="77" t="s">
        <v>277</v>
      </c>
      <c r="G25" s="159">
        <f>print_trnaround*'P-50 Base'!labor_rate/'P-50 Base'!good_parts_job</f>
        <v>0.01221001221</v>
      </c>
      <c r="H25" s="124"/>
      <c r="J25" s="77" t="s">
        <v>239</v>
      </c>
      <c r="K25" s="113">
        <f>IF('P-50 Base'!furnace_sel="Continuous",'P-50 Base'!part_req,ROUNDDOWN(('P-50 Base'!mim_furnace_x+'P-50 Base'!furnace_xy_spacing)/('P-50 Base'!furnace_part_scale_x+'P-50 Base'!furnace_xy_spacing),0)*ROUNDDOWN(('P-50 Base'!mim_furnace_y+'P-50 Base'!furnace_xy_spacing)/('P-50 Base'!furnace_part_scale_y+'P-50 Base'!furnace_xy_spacing),0)*MIN('P-50 Base'!furnace_shelves,ROUNDDOWN('P-50 Base'!mim_furnace_z/('P-50 Base'!furnace_part_scale_z+'P-50 Base'!furnace_rack_thickness+'P-50 Base'!furnace_z_spacing),0)))</f>
        <v>1496</v>
      </c>
      <c r="N25" s="164" t="str">
        <f>"5. "&amp;C41&amp;" powder priced at "&amp;TEXT(IF('P-50 Base'!powder_price="",C43,'P-50 Base'!powder_price),"$0.00")&amp;"/kg and binder priced at "&amp;TEXT('P-50 Base'!binder_price,"$0.00")&amp;"/L. Pricing may be volume dependent."</f>
        <v>5. 316L SS powder priced at $18.00/kg and binder priced at $100.00/L. Pricing may be volume dependent.</v>
      </c>
      <c r="O25" s="171"/>
      <c r="Q25" s="171"/>
      <c r="R25" s="171"/>
      <c r="S25" s="171"/>
      <c r="T25" s="171"/>
      <c r="U25" s="171"/>
      <c r="AB25" s="81"/>
      <c r="AC25" s="165"/>
    </row>
    <row r="26" ht="14.25" customHeight="1">
      <c r="B26" s="77" t="str">
        <f>"Print time + "&amp;print_trnaround&amp;"hrs turnaround"</f>
        <v>Print time + 0.5hrs turnaround</v>
      </c>
      <c r="C26" s="273">
        <f>C25*'P-50 Base'!layer_speed/(60*60)+print_trnaround</f>
        <v>3.619066667</v>
      </c>
      <c r="D26" s="10" t="s">
        <v>81</v>
      </c>
      <c r="F26" s="136" t="s">
        <v>295</v>
      </c>
      <c r="G26" s="168">
        <f>('P-50 Base'!power_rate*IF('P-50 Base'!p_model="P-1",9,13)*('P-50 Base'!print_time_trn-print_trnaround))/'P-50 Base'!good_parts_job+'P-50 Base'!nitrogen_rate*1000*('P-50 Base'!print_time_trn-print_trnaround)/'P-50 Base'!good_parts_job</f>
        <v>0.009749463573</v>
      </c>
      <c r="H26" s="124"/>
      <c r="J26" s="77" t="s">
        <v>243</v>
      </c>
      <c r="K26" s="119">
        <f>C51</f>
        <v>600</v>
      </c>
      <c r="N26" s="164" t="str">
        <f>"6. Key process assumptions: (i) "&amp;C24*1000&amp;" micron printed layer height; (ii) $"&amp;'P-50 Base'!labor_rate&amp;"/hr labor rate; (iii) Printer, depowdering, and powder handling equipment @ "&amp;C31&amp;" x "&amp;C32&amp;" x "&amp;'P-50 Base'!weeks_yr&amp;" x "&amp;'P-50 Base'!uptime*100&amp;"% uptime"</f>
        <v>6. Key process assumptions: (i) 65 micron printed layer height; (ii) $20/hr labor rate; (iii) Printer, depowdering, and powder handling equipment @ 24 x 7 x 48 x 100% uptime</v>
      </c>
      <c r="O26" s="171"/>
      <c r="Q26" s="171"/>
      <c r="R26" s="171"/>
      <c r="S26" s="171"/>
      <c r="T26" s="171"/>
      <c r="U26" s="171"/>
      <c r="AB26" s="81"/>
      <c r="AC26" s="171"/>
    </row>
    <row r="27" ht="14.25" customHeight="1">
      <c r="B27" s="77" t="s">
        <v>299</v>
      </c>
      <c r="C27" s="190">
        <v>1.0</v>
      </c>
      <c r="G27" s="10"/>
      <c r="H27" s="124"/>
      <c r="J27" s="77" t="s">
        <v>246</v>
      </c>
      <c r="K27" s="125">
        <f>IF('P-50 Base'!furnace_sel="Continuous",'P-50 Base'!furnace_time_cycle+K25/K26*2,'P-50 Base'!furnace_time_cycle+K25/K26*1)</f>
        <v>24.49333333</v>
      </c>
      <c r="L27" s="10" t="s">
        <v>81</v>
      </c>
      <c r="N27" s="176"/>
      <c r="O27" s="165" t="str">
        <f>"                        (iv) "&amp;G41&amp;" parts/hr depowdering rate; (v) "&amp;'P-50 Base'!total_yield*100&amp;"% overall process yield; (vi) "&amp;'P-50 Base'!dm_depr&amp;"yr DM equipment depreciation;"</f>
        <v>                        (iv) 300 parts/hr depowdering rate; (v) 100% overall process yield; (vi) 10yr DM equipment depreciation;</v>
      </c>
      <c r="Q27" s="171"/>
      <c r="R27" s="171"/>
      <c r="S27" s="171"/>
      <c r="T27" s="171"/>
      <c r="U27" s="171"/>
      <c r="AB27" s="81"/>
      <c r="AC27" s="171"/>
    </row>
    <row r="28" ht="14.25" customHeight="1">
      <c r="B28" s="136" t="s">
        <v>301</v>
      </c>
      <c r="C28" s="192">
        <f>IF('P-50 Base'!override_nesting="Yes",IF(C22=0,C19,C22),C19)*C27</f>
        <v>819</v>
      </c>
      <c r="E28" s="10" t="s">
        <v>45</v>
      </c>
      <c r="F28" s="86" t="s">
        <v>482</v>
      </c>
      <c r="G28" s="87"/>
      <c r="J28" s="77" t="s">
        <v>249</v>
      </c>
      <c r="K28" s="125">
        <f>'P-50 Base'!good_parts_job/K25*K27</f>
        <v>13.40911765</v>
      </c>
      <c r="L28" s="10" t="s">
        <v>81</v>
      </c>
      <c r="N28" s="182"/>
      <c r="O28" s="183" t="str">
        <f>"                        (vii) Crosslink station "&amp;IF(C15="Yes","&amp; sintering ",)&amp;"equipment @ 24 x 7 x "&amp;'P-50 Base'!weeks_yr&amp;" x "&amp;'P-50 Base'!uptime*100&amp;"% uptime; (viii) "&amp;IF(C15="Yes",'P-50 Base'!furnace_depr&amp;"yr MIM furnace depreciation; (iv) ",)&amp;'P-50 Base'!total_yield*100&amp;"% overall process yield"</f>
        <v>                        (vii) Crosslink station &amp; sintering equipment @ 24 x 7 x 48 x 100% uptime; (viii) 10yr MIM furnace depreciation; (iv) 100% overall process yield</v>
      </c>
      <c r="P28" s="184"/>
      <c r="Q28" s="185"/>
      <c r="R28" s="185"/>
      <c r="S28" s="185"/>
      <c r="T28" s="185"/>
      <c r="U28" s="185"/>
      <c r="V28" s="186"/>
      <c r="W28" s="187"/>
      <c r="X28" s="184"/>
      <c r="Y28" s="184"/>
      <c r="Z28" s="184"/>
      <c r="AA28" s="184"/>
      <c r="AB28" s="188"/>
      <c r="AC28" s="171"/>
    </row>
    <row r="29" ht="14.25" customHeight="1">
      <c r="F29" s="91" t="s">
        <v>84</v>
      </c>
      <c r="G29" s="93">
        <f>C93</f>
        <v>2</v>
      </c>
      <c r="J29" s="77" t="s">
        <v>252</v>
      </c>
      <c r="K29" s="119">
        <f>IF('P-50 Base'!furnace_sel="Continuous",(240000/2.2)/('P-50 Base'!good_parts_job*'P-50 Base'!part_vol*'P-50 Base'!density_selected),ROUNDDOWN('P-50 Base'!total_hours_yr/K28,0))</f>
        <v>601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171"/>
    </row>
    <row r="30" ht="14.25" customHeight="1">
      <c r="A30" s="10" t="s">
        <v>45</v>
      </c>
      <c r="B30" s="86" t="s">
        <v>310</v>
      </c>
      <c r="C30" s="87"/>
      <c r="F30" s="77" t="s">
        <v>493</v>
      </c>
      <c r="G30" s="193">
        <f>C92*'P-50 Base'!build_height/'P-50 Base'!build_z+0.5</f>
        <v>38.17692308</v>
      </c>
      <c r="H30" s="10" t="s">
        <v>81</v>
      </c>
      <c r="J30" s="77" t="s">
        <v>255</v>
      </c>
      <c r="K30" s="119">
        <f>ROUNDUP('P-50 Base'!part_req/K25,0)</f>
        <v>1220</v>
      </c>
      <c r="N30" s="171"/>
      <c r="Q30" s="171"/>
      <c r="R30" s="171"/>
      <c r="S30" s="171"/>
      <c r="T30" s="171"/>
      <c r="U30" s="171"/>
      <c r="V30" s="189"/>
      <c r="W30" s="121"/>
      <c r="AC30" s="171"/>
    </row>
    <row r="31" ht="14.25" customHeight="1">
      <c r="B31" s="91" t="s">
        <v>315</v>
      </c>
      <c r="C31" s="201">
        <v>24.0</v>
      </c>
      <c r="F31" s="77" t="s">
        <v>252</v>
      </c>
      <c r="G31" s="119">
        <f>ROUNDDOWN(G29*'P-50 Base'!total_hours_yr/G30,0)</f>
        <v>422</v>
      </c>
      <c r="J31" s="77" t="s">
        <v>421</v>
      </c>
      <c r="K31" s="172">
        <f>ROUNDUP('P-50 Base'!total_builds_yr/K29,0)</f>
        <v>4</v>
      </c>
      <c r="N31" s="194" t="str">
        <f>"Production System "&amp;'P-50 Base'!p_model&amp;" "&amp;LOWER(N11)&amp;" allocation"</f>
        <v>Production System P-50 sintered part cost allocation</v>
      </c>
      <c r="U31" s="121"/>
      <c r="V31" s="194" t="s">
        <v>303</v>
      </c>
      <c r="AC31" s="171"/>
    </row>
    <row r="32" ht="14.25" customHeight="1">
      <c r="B32" s="77" t="s">
        <v>321</v>
      </c>
      <c r="C32" s="201">
        <v>7.0</v>
      </c>
      <c r="F32" s="77" t="s">
        <v>311</v>
      </c>
      <c r="G32" s="119">
        <f>ROUNDUP('P-50 Base'!total_builds_yr/G31,0)</f>
        <v>6</v>
      </c>
      <c r="J32" s="77" t="s">
        <v>422</v>
      </c>
      <c r="K32" s="119">
        <f>IF('P-50 Base'!furnace_sel="Continuous",'P-50 Base'!total_hours_yr*'P-50 Base'!total_builds_yr/K29,K27*K30)</f>
        <v>29881.86667</v>
      </c>
      <c r="L32" s="10" t="s">
        <v>81</v>
      </c>
      <c r="N32" s="10" t="s">
        <v>305</v>
      </c>
      <c r="O32" s="10" t="s">
        <v>306</v>
      </c>
      <c r="P32" s="124">
        <f>G21+G22</f>
        <v>1.180564463</v>
      </c>
      <c r="R32" s="10" t="s">
        <v>307</v>
      </c>
      <c r="S32" s="10" t="s">
        <v>308</v>
      </c>
      <c r="T32" s="124">
        <f t="shared" ref="T32:T36" si="3">SUMIF($O$32:$O$49,S32,$P$32:$P$49)</f>
        <v>1.180564463</v>
      </c>
      <c r="U32" s="124"/>
      <c r="V32" s="195" t="s">
        <v>309</v>
      </c>
      <c r="W32" s="196"/>
      <c r="X32" s="196"/>
      <c r="Y32" s="197">
        <f>'P-50 Base'!parts_job</f>
        <v>819</v>
      </c>
      <c r="Z32" s="121"/>
      <c r="AA32" s="121"/>
      <c r="AB32" s="121"/>
      <c r="AC32" s="121"/>
    </row>
    <row r="33" ht="14.25" customHeight="1">
      <c r="B33" s="77" t="s">
        <v>325</v>
      </c>
      <c r="C33" s="201">
        <v>48.0</v>
      </c>
      <c r="F33" s="77" t="s">
        <v>483</v>
      </c>
      <c r="G33" s="119">
        <f>'P-50 Base'!total_builds_yr*G30/G29</f>
        <v>42532.89135</v>
      </c>
      <c r="H33" s="10" t="s">
        <v>81</v>
      </c>
      <c r="J33" s="77" t="s">
        <v>423</v>
      </c>
      <c r="K33" s="158">
        <f>IFERROR(OFFSET(C126,'P-50 Base'!furnace_index-1,)*K31,"N.A.")</f>
        <v>2800000</v>
      </c>
      <c r="N33" s="10" t="s">
        <v>305</v>
      </c>
      <c r="O33" s="10" t="s">
        <v>313</v>
      </c>
      <c r="P33" s="124">
        <f>G24</f>
        <v>0.06453121037</v>
      </c>
      <c r="S33" s="10" t="s">
        <v>313</v>
      </c>
      <c r="T33" s="124">
        <f t="shared" si="3"/>
        <v>0.06453121037</v>
      </c>
      <c r="U33" s="124"/>
      <c r="V33" s="198" t="s">
        <v>314</v>
      </c>
      <c r="W33" s="199"/>
      <c r="X33" s="199"/>
      <c r="Y33" s="200">
        <f>G16</f>
        <v>0.1565666341</v>
      </c>
    </row>
    <row r="34" ht="14.25" customHeight="1">
      <c r="B34" s="77" t="s">
        <v>424</v>
      </c>
      <c r="C34" s="110">
        <f>C31*C32*'P-50 Base'!weeks_yr</f>
        <v>8064</v>
      </c>
      <c r="F34" s="77" t="s">
        <v>484</v>
      </c>
      <c r="G34" s="158">
        <f>G32*'P-50 Base'!xlink_msrp</f>
        <v>300000</v>
      </c>
      <c r="J34" s="77" t="str">
        <f>"Annual depreciation (@ "&amp;'P-50 Base'!furnace_depr&amp;" yrs)"</f>
        <v>Annual depreciation (@ 10 yrs)</v>
      </c>
      <c r="K34" s="158">
        <f>IFERROR(K33/'P-50 Base'!furnace_depr+OFFSET(C136,'P-50 Base'!furnace_index-1,)*K31*'P-50 Base'!floor_rate,"N.A.")</f>
        <v>283200</v>
      </c>
      <c r="N34" s="10" t="s">
        <v>305</v>
      </c>
      <c r="O34" s="10" t="s">
        <v>318</v>
      </c>
      <c r="P34" s="124">
        <f>G23</f>
        <v>0.06945277003</v>
      </c>
      <c r="S34" s="10" t="s">
        <v>318</v>
      </c>
      <c r="T34" s="124">
        <f t="shared" si="3"/>
        <v>0.2696673008</v>
      </c>
      <c r="U34" s="124"/>
      <c r="V34" s="198" t="s">
        <v>319</v>
      </c>
      <c r="W34" s="199"/>
      <c r="X34" s="199"/>
      <c r="Y34" s="202">
        <f>IF('P-50 Base'!furnace_sel="Continuous","N.A.",K25)</f>
        <v>1496</v>
      </c>
    </row>
    <row r="35" ht="14.25" customHeight="1">
      <c r="B35" s="77" t="s">
        <v>425</v>
      </c>
      <c r="C35" s="190">
        <v>1.0</v>
      </c>
      <c r="F35" s="77" t="str">
        <f>"Annual depreciation (@ "&amp;'P-50 Base'!dm_depr&amp;" yrs)"</f>
        <v>Annual depreciation (@ 10 yrs)</v>
      </c>
      <c r="G35" s="158">
        <f>G34/'P-50 Base'!dm_depr</f>
        <v>30000</v>
      </c>
      <c r="J35" s="77" t="s">
        <v>270</v>
      </c>
      <c r="K35" s="159">
        <f>IFERROR(K32/('P-50 Base'!total_hours_yr*K31)*K34/'P-50 Base'!part_req,"N.A.")</f>
        <v>0.1437648054</v>
      </c>
      <c r="N35" s="10" t="s">
        <v>305</v>
      </c>
      <c r="O35" s="10" t="s">
        <v>320</v>
      </c>
      <c r="P35" s="124">
        <f t="shared" ref="P35:P36" si="4">G25</f>
        <v>0.01221001221</v>
      </c>
      <c r="S35" s="10" t="s">
        <v>320</v>
      </c>
      <c r="T35" s="124">
        <f t="shared" si="3"/>
        <v>0.1638665835</v>
      </c>
      <c r="U35" s="124"/>
      <c r="V35" s="198" t="s">
        <v>323</v>
      </c>
      <c r="W35" s="199"/>
      <c r="X35" s="199"/>
      <c r="Y35" s="203">
        <f>IFERROR(Y34/C19,"N.A.")</f>
        <v>1.826617827</v>
      </c>
    </row>
    <row r="36" ht="14.25" customHeight="1">
      <c r="B36" s="77" t="s">
        <v>426</v>
      </c>
      <c r="C36" s="110">
        <f>'P-50 Base'!avail_hours_yr*'P-50 Base'!uptime</f>
        <v>8064</v>
      </c>
      <c r="F36" s="77" t="s">
        <v>286</v>
      </c>
      <c r="G36" s="159">
        <f>G33/('P-50 Base'!total_hours_yr*G32)*G35/'P-50 Base'!part_req</f>
        <v>0.01445128649</v>
      </c>
      <c r="J36" s="77" t="s">
        <v>274</v>
      </c>
      <c r="K36" s="159">
        <f>IF('P-50 Base'!furnace_sel="Continuous",'P-50 Base'!furnace_power_cons*'P-50 Base'!total_hours_yr/'P-50 Base'!part_req,0)</f>
        <v>0</v>
      </c>
      <c r="N36" s="10" t="s">
        <v>305</v>
      </c>
      <c r="O36" s="10" t="s">
        <v>324</v>
      </c>
      <c r="P36" s="124">
        <f t="shared" si="4"/>
        <v>0.009749463573</v>
      </c>
      <c r="S36" s="10" t="s">
        <v>324</v>
      </c>
      <c r="T36" s="124">
        <f t="shared" si="3"/>
        <v>0.3218745758</v>
      </c>
      <c r="U36" s="124"/>
      <c r="V36" s="198" t="s">
        <v>326</v>
      </c>
      <c r="W36" s="199"/>
      <c r="X36" s="199"/>
      <c r="Y36" s="202">
        <f>Y37/'P-50 Base'!weeks_yr</f>
        <v>38018.64583</v>
      </c>
    </row>
    <row r="37" ht="14.25" customHeight="1">
      <c r="B37" s="77" t="s">
        <v>336</v>
      </c>
      <c r="C37" s="110">
        <f>ROUND('P-50 Base'!good_parts_job/'P-50 Base'!print_time_trn*'P-50 Base'!uptime_hours_yr,0)</f>
        <v>1824895</v>
      </c>
      <c r="F37" s="77" t="s">
        <v>277</v>
      </c>
      <c r="G37" s="159">
        <f>(0.5/G29*'P-50 Base'!labor_rate*'P-50 Base'!total_builds_yr)/'P-50 Base'!part_req</f>
        <v>0.006105006105</v>
      </c>
      <c r="J37" s="77" t="s">
        <v>277</v>
      </c>
      <c r="K37" s="159">
        <f>IF('P-50 Base'!furnace_sel="Continuous",'P-50 Base'!labor_rate*'P-50 Base'!part_req/K26,'P-50 Base'!labor_rate*K30*(K27-C113))/'P-50 Base'!part_req</f>
        <v>0.03333744316</v>
      </c>
      <c r="N37" s="79" t="s">
        <v>485</v>
      </c>
      <c r="O37" s="79" t="s">
        <v>318</v>
      </c>
      <c r="P37" s="205">
        <f t="shared" ref="P37:P39" si="5">G36</f>
        <v>0.01445128649</v>
      </c>
      <c r="S37" s="79" t="s">
        <v>307</v>
      </c>
      <c r="T37" s="205">
        <f>SUM(T32:T36)</f>
        <v>2.000504133</v>
      </c>
      <c r="V37" s="198" t="s">
        <v>330</v>
      </c>
      <c r="W37" s="199"/>
      <c r="X37" s="199"/>
      <c r="Y37" s="202">
        <f>'P-50 Base'!part_req</f>
        <v>1824895</v>
      </c>
    </row>
    <row r="38" ht="14.25" customHeight="1">
      <c r="B38" s="136" t="s">
        <v>342</v>
      </c>
      <c r="C38" s="169">
        <f>+'P-50 Base'!part_capacity</f>
        <v>1824895</v>
      </c>
      <c r="F38" s="136" t="s">
        <v>295</v>
      </c>
      <c r="G38" s="168">
        <f>('P-50 Base'!power_rate*5*G33+'P-50 Base'!nitrogen_rate*18*60*G33)/'P-50 Base'!part_req</f>
        <v>0.03915581854</v>
      </c>
      <c r="J38" s="136" t="s">
        <v>281</v>
      </c>
      <c r="K38" s="168">
        <f>IF('P-50 Base'!furnace_sel="Continuous",'P-50 Base'!furnace_gas_cons*'P-50 Base'!total_hours_yr,('P-50 Base'!argon_rate*'P-50 Base'!furnace_gas_cons+'P-50 Base'!power_rate*'P-50 Base'!furnace_power_cons)*(K27-K25/K26*2)*K30)/'P-50 Base'!part_req</f>
        <v>0.2119133795</v>
      </c>
      <c r="N38" s="10" t="s">
        <v>485</v>
      </c>
      <c r="O38" s="10" t="s">
        <v>320</v>
      </c>
      <c r="P38" s="124">
        <f t="shared" si="5"/>
        <v>0.006105006105</v>
      </c>
      <c r="T38" s="209"/>
      <c r="V38" s="198" t="s">
        <v>332</v>
      </c>
      <c r="W38" s="199"/>
      <c r="X38" s="199"/>
      <c r="Y38" s="208">
        <f>P11</f>
        <v>1.730836833</v>
      </c>
    </row>
    <row r="39" ht="14.25" customHeight="1">
      <c r="G39" s="10"/>
      <c r="K39" s="10"/>
      <c r="N39" s="184" t="s">
        <v>485</v>
      </c>
      <c r="O39" s="184" t="s">
        <v>324</v>
      </c>
      <c r="P39" s="206">
        <f t="shared" si="5"/>
        <v>0.03915581854</v>
      </c>
      <c r="R39" s="10" t="s">
        <v>307</v>
      </c>
      <c r="S39" s="10" t="s">
        <v>308</v>
      </c>
      <c r="T39" s="124">
        <f>P32</f>
        <v>1.180564463</v>
      </c>
      <c r="V39" s="198" t="s">
        <v>335</v>
      </c>
      <c r="W39" s="199"/>
      <c r="X39" s="199"/>
      <c r="Y39" s="208">
        <f>P13</f>
        <v>0.3166199496</v>
      </c>
    </row>
    <row r="40" ht="14.25" customHeight="1">
      <c r="A40" s="10" t="s">
        <v>45</v>
      </c>
      <c r="B40" s="86" t="s">
        <v>344</v>
      </c>
      <c r="C40" s="87"/>
      <c r="E40" s="10" t="s">
        <v>45</v>
      </c>
      <c r="F40" s="86" t="s">
        <v>340</v>
      </c>
      <c r="G40" s="87"/>
      <c r="I40" s="10" t="s">
        <v>45</v>
      </c>
      <c r="J40" s="86" t="s">
        <v>494</v>
      </c>
      <c r="K40" s="87"/>
      <c r="N40" s="10" t="s">
        <v>333</v>
      </c>
      <c r="O40" s="10" t="s">
        <v>318</v>
      </c>
      <c r="P40" s="124">
        <f t="shared" ref="P40:P42" si="6">G48</f>
        <v>0.007589532822</v>
      </c>
      <c r="S40" s="10" t="s">
        <v>305</v>
      </c>
      <c r="T40" s="124">
        <f t="shared" ref="T40:T44" si="7">SUMIF($N$33:$N$49,S40,$P$33:$P$49)</f>
        <v>0.1559434562</v>
      </c>
      <c r="U40" s="209"/>
      <c r="V40" s="198" t="s">
        <v>337</v>
      </c>
      <c r="W40" s="199"/>
      <c r="X40" s="199"/>
      <c r="Y40" s="208">
        <f>P17</f>
        <v>2.000504133</v>
      </c>
    </row>
    <row r="41" ht="14.25" customHeight="1">
      <c r="B41" s="217" t="s">
        <v>346</v>
      </c>
      <c r="C41" s="293" t="s">
        <v>466</v>
      </c>
      <c r="F41" s="77" t="s">
        <v>343</v>
      </c>
      <c r="G41" s="216">
        <f>C50</f>
        <v>300</v>
      </c>
      <c r="J41" s="77" t="s">
        <v>495</v>
      </c>
      <c r="K41" s="119">
        <f>ROUNDUP(G10/2,0)</f>
        <v>1</v>
      </c>
      <c r="N41" s="10" t="s">
        <v>333</v>
      </c>
      <c r="O41" s="10" t="s">
        <v>320</v>
      </c>
      <c r="P41" s="124">
        <f t="shared" si="6"/>
        <v>0.07887667888</v>
      </c>
      <c r="S41" s="10" t="s">
        <v>485</v>
      </c>
      <c r="T41" s="124">
        <f t="shared" si="7"/>
        <v>0.05971211113</v>
      </c>
      <c r="V41" s="198" t="s">
        <v>341</v>
      </c>
      <c r="W41" s="199"/>
      <c r="X41" s="199"/>
      <c r="Y41" s="208">
        <f>P19</f>
        <v>0.3659498723</v>
      </c>
    </row>
    <row r="42" ht="14.25" customHeight="1">
      <c r="B42" s="77" t="s">
        <v>429</v>
      </c>
      <c r="C42" s="219"/>
      <c r="D42" s="10" t="s">
        <v>349</v>
      </c>
      <c r="F42" s="77" t="s">
        <v>496</v>
      </c>
      <c r="G42" s="108">
        <f>'P-50 Base'!parts_job/G41+0.5</f>
        <v>3.23</v>
      </c>
      <c r="H42" s="10" t="s">
        <v>81</v>
      </c>
      <c r="J42" s="77" t="s">
        <v>312</v>
      </c>
      <c r="K42" s="119">
        <f>MAX(G11/G10*ROUNDUP(G10/2,0),G45)</f>
        <v>8064.000812</v>
      </c>
      <c r="L42" s="10" t="s">
        <v>81</v>
      </c>
      <c r="N42" s="10" t="s">
        <v>333</v>
      </c>
      <c r="O42" s="10" t="s">
        <v>324</v>
      </c>
      <c r="P42" s="124">
        <f t="shared" si="6"/>
        <v>0.002425457875</v>
      </c>
      <c r="S42" s="10" t="s">
        <v>333</v>
      </c>
      <c r="T42" s="124">
        <f t="shared" si="7"/>
        <v>0.08889166957</v>
      </c>
      <c r="V42" s="198" t="s">
        <v>248</v>
      </c>
      <c r="W42" s="199"/>
      <c r="X42" s="199"/>
      <c r="Y42" s="210">
        <f>T14</f>
        <v>1.000000101</v>
      </c>
    </row>
    <row r="43" ht="14.25" customHeight="1">
      <c r="B43" s="103" t="s">
        <v>351</v>
      </c>
      <c r="C43" s="295">
        <f t="array" ref="C43">+INDEX(C154:C163,VLOOKUP(C41,B141:F151,5,0))</f>
        <v>18</v>
      </c>
      <c r="D43" s="10" t="s">
        <v>349</v>
      </c>
      <c r="F43" s="77" t="s">
        <v>252</v>
      </c>
      <c r="G43" s="119">
        <f>ROUNDDOWN('P-50 Base'!uptime_hours_yr/G42,0)</f>
        <v>2496</v>
      </c>
      <c r="J43" s="77" t="s">
        <v>497</v>
      </c>
      <c r="K43" s="158">
        <f>'P-50 Base'!ppu_msrp*K41</f>
        <v>350000</v>
      </c>
      <c r="N43" s="79" t="s">
        <v>338</v>
      </c>
      <c r="O43" s="79" t="s">
        <v>313</v>
      </c>
      <c r="P43" s="205" t="str">
        <f>IF(C15="No",0,IF(C16="Continuous",K36,))</f>
        <v/>
      </c>
      <c r="S43" s="10" t="s">
        <v>338</v>
      </c>
      <c r="T43" s="124">
        <f t="shared" si="7"/>
        <v>0.4691160158</v>
      </c>
      <c r="V43" s="213" t="s">
        <v>261</v>
      </c>
      <c r="W43" s="214"/>
      <c r="X43" s="214"/>
      <c r="Y43" s="215">
        <f>T17</f>
        <v>0.9263971561</v>
      </c>
    </row>
    <row r="44" ht="14.25" customHeight="1">
      <c r="B44" s="77" t="s">
        <v>129</v>
      </c>
      <c r="C44" s="159">
        <f>IF('P-50 Base'!binder_per_yr&gt;F166,C168,IF('P-50 Base'!binder_per_yr&gt;F165,C167,C166))</f>
        <v>100</v>
      </c>
      <c r="D44" s="10" t="s">
        <v>353</v>
      </c>
      <c r="F44" s="77" t="s">
        <v>347</v>
      </c>
      <c r="G44" s="119">
        <f>ROUNDUP('P-50 Base'!total_builds_yr/G43,0)</f>
        <v>1</v>
      </c>
      <c r="J44" s="77" t="str">
        <f>"Annual depreciation (@ "&amp;'P-50 Base'!dm_depr&amp;" yrs)"</f>
        <v>Annual depreciation (@ 10 yrs)</v>
      </c>
      <c r="K44" s="158">
        <f>K43/'P-50 Base'!dm_depr+(3.7*1.8)*K41*'P-50 Base'!floor_rate</f>
        <v>36065.6</v>
      </c>
      <c r="N44" s="10" t="s">
        <v>338</v>
      </c>
      <c r="O44" s="10" t="s">
        <v>318</v>
      </c>
      <c r="P44" s="124">
        <f>IF(C15="No",0,K35+IF($C$16&lt;&gt;"Continuous",K16,0))</f>
        <v>0.1584105999</v>
      </c>
      <c r="S44" s="10" t="s">
        <v>498</v>
      </c>
      <c r="T44" s="124">
        <f t="shared" si="7"/>
        <v>0.04627641789</v>
      </c>
    </row>
    <row r="45" ht="14.25" customHeight="1">
      <c r="B45" s="77" t="s">
        <v>132</v>
      </c>
      <c r="C45" s="221">
        <f>VLOOKUP(B45,Inputs!$B$6:$M$311,Inputs!M$1,0)</f>
        <v>48000</v>
      </c>
      <c r="F45" s="77" t="s">
        <v>350</v>
      </c>
      <c r="G45" s="119">
        <f>'P-50 Base'!total_builds_yr*G42</f>
        <v>7197.082845</v>
      </c>
      <c r="H45" s="10" t="s">
        <v>81</v>
      </c>
      <c r="J45" s="77" t="s">
        <v>286</v>
      </c>
      <c r="K45" s="159">
        <f>K42/('P-50 Base'!avail_hours_yr*K41)*K44/'P-50 Base'!part_req</f>
        <v>0.01976311165</v>
      </c>
      <c r="N45" s="10" t="s">
        <v>338</v>
      </c>
      <c r="O45" s="10" t="s">
        <v>320</v>
      </c>
      <c r="P45" s="124">
        <f>IF(C15="No",0,K37+IF($C$16&lt;&gt;"Continuous",K17,0))</f>
        <v>0.06667488632</v>
      </c>
      <c r="S45" s="79" t="s">
        <v>307</v>
      </c>
      <c r="T45" s="205">
        <f>SUM(T39:T44)</f>
        <v>2.000504133</v>
      </c>
    </row>
    <row r="46" ht="14.25" customHeight="1">
      <c r="B46" s="61" t="s">
        <v>486</v>
      </c>
      <c r="C46" s="148" t="s">
        <v>355</v>
      </c>
      <c r="F46" s="77" t="s">
        <v>352</v>
      </c>
      <c r="G46" s="158">
        <f>G44*'P-50 Base'!depowder_msrp</f>
        <v>150000</v>
      </c>
      <c r="J46" s="77" t="s">
        <v>277</v>
      </c>
      <c r="K46" s="159">
        <v>0.0</v>
      </c>
      <c r="N46" s="184" t="s">
        <v>338</v>
      </c>
      <c r="O46" s="184" t="s">
        <v>324</v>
      </c>
      <c r="P46" s="206">
        <f>IF(C15="No",0,K38+IF($C$16&lt;&gt;"Continuous",K18,0))</f>
        <v>0.2440305296</v>
      </c>
      <c r="T46" s="209"/>
    </row>
    <row r="47" ht="14.25" customHeight="1">
      <c r="F47" s="77" t="str">
        <f>"Annual depreciation (@ "&amp;'P-50 Base'!dm_depr&amp;" yrs)"</f>
        <v>Annual depreciation (@ 10 yrs)</v>
      </c>
      <c r="G47" s="158">
        <f>G46/'P-50 Base'!dm_depr+(2.7*1.2)*G44*'P-50 Base'!floor_rate</f>
        <v>15518.4</v>
      </c>
      <c r="J47" s="136" t="s">
        <v>281</v>
      </c>
      <c r="K47" s="168">
        <f>50*'P-50 Base'!uptime_hours_yr*'P-50 Base'!power_rate/'P-50 Base'!part_req</f>
        <v>0.02651330625</v>
      </c>
      <c r="N47" s="10" t="s">
        <v>498</v>
      </c>
      <c r="O47" s="10" t="s">
        <v>318</v>
      </c>
      <c r="P47" s="124">
        <f t="shared" ref="P47:P49" si="8">K45</f>
        <v>0.01976311165</v>
      </c>
    </row>
    <row r="48" ht="14.25" customHeight="1">
      <c r="A48" s="10" t="s">
        <v>45</v>
      </c>
      <c r="B48" s="86" t="s">
        <v>487</v>
      </c>
      <c r="C48" s="87"/>
      <c r="F48" s="77" t="s">
        <v>286</v>
      </c>
      <c r="G48" s="159">
        <f>G45/('P-50 Base'!avail_hours_yr*G44)*G47/'P-50 Base'!part_req</f>
        <v>0.007589532822</v>
      </c>
      <c r="N48" s="10" t="s">
        <v>498</v>
      </c>
      <c r="O48" s="10" t="s">
        <v>320</v>
      </c>
      <c r="P48" s="124">
        <f t="shared" si="8"/>
        <v>0</v>
      </c>
    </row>
    <row r="49" ht="14.25" customHeight="1">
      <c r="B49" s="77" t="s">
        <v>357</v>
      </c>
      <c r="C49" s="223">
        <v>20.0</v>
      </c>
      <c r="D49" s="10" t="s">
        <v>358</v>
      </c>
      <c r="F49" s="77" t="s">
        <v>277</v>
      </c>
      <c r="G49" s="159">
        <f>G42*'P-50 Base'!labor_rate*'P-50 Base'!total_builds_yr/'P-50 Base'!part_req</f>
        <v>0.07887667888</v>
      </c>
      <c r="N49" s="10" t="s">
        <v>498</v>
      </c>
      <c r="O49" s="10" t="s">
        <v>324</v>
      </c>
      <c r="P49" s="124">
        <f t="shared" si="8"/>
        <v>0.02651330625</v>
      </c>
    </row>
    <row r="50" ht="14.25" customHeight="1">
      <c r="B50" s="224" t="s">
        <v>343</v>
      </c>
      <c r="C50" s="201">
        <f>IF('P-50 Base'!p_model="P-50",300,30)</f>
        <v>300</v>
      </c>
      <c r="F50" s="136" t="s">
        <v>295</v>
      </c>
      <c r="G50" s="168">
        <f>'P-50 Base'!power_rate*5*G45/'P-50 Base'!part_req+'P-50 Base'!nitrogen_rate*15*G42/'P-50 Base'!good_parts_job</f>
        <v>0.002425457875</v>
      </c>
      <c r="P50" s="124"/>
    </row>
    <row r="51" ht="14.25" customHeight="1">
      <c r="B51" s="224" t="s">
        <v>243</v>
      </c>
      <c r="C51" s="201">
        <f>IF('P-50 Base'!p_model="P-50",600,240)</f>
        <v>600</v>
      </c>
      <c r="G51" s="121"/>
      <c r="N51" s="228"/>
      <c r="O51" s="121"/>
      <c r="P51" s="276"/>
      <c r="Q51" s="121"/>
      <c r="R51" s="121"/>
      <c r="S51" s="121"/>
      <c r="T51" s="121"/>
      <c r="U51" s="121"/>
      <c r="V51" s="189"/>
      <c r="W51" s="121"/>
    </row>
    <row r="52" ht="14.25" customHeight="1">
      <c r="B52" s="77" t="s">
        <v>431</v>
      </c>
      <c r="C52" s="201">
        <v>10.0</v>
      </c>
      <c r="D52" s="10" t="s">
        <v>361</v>
      </c>
      <c r="N52" s="228"/>
      <c r="O52" s="121"/>
      <c r="P52" s="276"/>
      <c r="Q52" s="121"/>
      <c r="R52" s="121"/>
      <c r="S52" s="121"/>
      <c r="T52" s="121"/>
      <c r="U52" s="121"/>
      <c r="V52" s="189"/>
      <c r="W52" s="121"/>
    </row>
    <row r="53" ht="14.25" customHeight="1">
      <c r="B53" s="224" t="s">
        <v>432</v>
      </c>
      <c r="C53" s="201">
        <v>10.0</v>
      </c>
      <c r="D53" s="10" t="s">
        <v>361</v>
      </c>
    </row>
    <row r="54" ht="14.25" customHeight="1">
      <c r="B54" s="224" t="s">
        <v>433</v>
      </c>
      <c r="C54" s="226">
        <v>0.001</v>
      </c>
      <c r="D54" s="10" t="s">
        <v>353</v>
      </c>
    </row>
    <row r="55" ht="14.25" customHeight="1">
      <c r="B55" s="224" t="s">
        <v>434</v>
      </c>
      <c r="C55" s="226">
        <v>0.0025</v>
      </c>
      <c r="D55" s="10" t="s">
        <v>353</v>
      </c>
    </row>
    <row r="56" ht="14.25" customHeight="1">
      <c r="B56" s="224" t="s">
        <v>367</v>
      </c>
      <c r="C56" s="226">
        <v>0.12</v>
      </c>
      <c r="D56" s="10" t="s">
        <v>368</v>
      </c>
    </row>
    <row r="57" ht="14.25" customHeight="1">
      <c r="B57" s="61" t="s">
        <v>369</v>
      </c>
      <c r="C57" s="227">
        <v>160.0</v>
      </c>
      <c r="D57" s="10" t="s">
        <v>370</v>
      </c>
      <c r="J57" s="76"/>
    </row>
    <row r="58" ht="14.25" customHeight="1">
      <c r="U58" s="121"/>
      <c r="V58" s="189"/>
      <c r="W58" s="121"/>
    </row>
    <row r="59" ht="14.25" hidden="1" customHeight="1" outlineLevel="1">
      <c r="N59" s="228"/>
      <c r="O59" s="121"/>
      <c r="P59" s="276"/>
      <c r="Q59" s="121"/>
      <c r="R59" s="121"/>
      <c r="S59" s="121"/>
      <c r="T59" s="121"/>
      <c r="U59" s="121"/>
      <c r="V59" s="189"/>
      <c r="W59" s="121"/>
    </row>
    <row r="60" ht="14.25" hidden="1" customHeight="1" outlineLevel="1">
      <c r="A60" s="10" t="s">
        <v>45</v>
      </c>
      <c r="B60" s="91" t="s">
        <v>342</v>
      </c>
      <c r="C60" s="93">
        <f>IF(C18="No",IF(C38&lt;&gt;"",C38,'P-50 Base'!part_capacity),MIN('P-50 Base'!part_capacity,K29*'P-50 Base'!good_parts_job))</f>
        <v>1824895</v>
      </c>
      <c r="N60" s="228"/>
      <c r="O60" s="121"/>
      <c r="P60" s="276"/>
      <c r="Q60" s="121"/>
      <c r="R60" s="121"/>
      <c r="S60" s="121"/>
      <c r="T60" s="121"/>
      <c r="U60" s="121"/>
      <c r="V60" s="189"/>
      <c r="W60" s="121"/>
    </row>
    <row r="61" ht="14.25" hidden="1" customHeight="1" outlineLevel="1">
      <c r="B61" s="77" t="s">
        <v>47</v>
      </c>
      <c r="C61" s="230">
        <f>VLOOKUP($B61,Inputs!$B$6:$M$309,Inputs!M$1,0)</f>
        <v>1.16</v>
      </c>
      <c r="N61" s="228"/>
      <c r="O61" s="121"/>
      <c r="P61" s="276"/>
      <c r="Q61" s="121"/>
      <c r="R61" s="121"/>
      <c r="S61" s="121"/>
      <c r="T61" s="121"/>
      <c r="U61" s="121"/>
      <c r="V61" s="76"/>
    </row>
    <row r="62" ht="14.25" hidden="1" customHeight="1" outlineLevel="1">
      <c r="B62" s="77" t="s">
        <v>48</v>
      </c>
      <c r="C62" s="230">
        <f>VLOOKUP($B62,Inputs!$B$6:$M$309,Inputs!M$1,0)</f>
        <v>1.165</v>
      </c>
      <c r="N62" s="228"/>
      <c r="O62" s="121"/>
      <c r="P62" s="276"/>
      <c r="Q62" s="121"/>
      <c r="R62" s="121"/>
      <c r="S62" s="121"/>
      <c r="T62" s="121"/>
      <c r="W62" s="76"/>
    </row>
    <row r="63" ht="14.25" hidden="1" customHeight="1" outlineLevel="1">
      <c r="B63" s="77" t="s">
        <v>49</v>
      </c>
      <c r="C63" s="230">
        <f>VLOOKUP($B63,Inputs!$B$6:$M$309,Inputs!M$1,0)</f>
        <v>1.18</v>
      </c>
      <c r="N63" s="228"/>
      <c r="O63" s="121"/>
      <c r="P63" s="276"/>
      <c r="Q63" s="121"/>
      <c r="R63" s="121"/>
      <c r="S63" s="121"/>
      <c r="T63" s="121"/>
      <c r="W63" s="76"/>
    </row>
    <row r="64" ht="14.25" hidden="1" customHeight="1" outlineLevel="1">
      <c r="B64" s="77" t="s">
        <v>51</v>
      </c>
      <c r="C64" s="242">
        <f>VLOOKUP($B64,Inputs!$B$6:$M$309,Inputs!M$1,0)</f>
        <v>2.98</v>
      </c>
      <c r="D64" s="10" t="s">
        <v>52</v>
      </c>
      <c r="G64" s="76"/>
      <c r="N64" s="228"/>
      <c r="O64" s="121"/>
      <c r="P64" s="276"/>
      <c r="Q64" s="121"/>
      <c r="R64" s="121"/>
      <c r="S64" s="121"/>
      <c r="T64" s="121"/>
      <c r="V64" s="228"/>
      <c r="W64" s="121"/>
    </row>
    <row r="65" ht="14.25" hidden="1" customHeight="1" outlineLevel="1">
      <c r="B65" s="77" t="s">
        <v>373</v>
      </c>
      <c r="C65" s="193">
        <f>'P-50 Base'!part_x*'P-50 Base'!x_scale</f>
        <v>46.4</v>
      </c>
      <c r="D65" s="10" t="s">
        <v>55</v>
      </c>
      <c r="G65" s="76"/>
      <c r="N65" s="228"/>
      <c r="O65" s="121"/>
      <c r="P65" s="276"/>
      <c r="R65" s="76"/>
      <c r="V65" s="228"/>
      <c r="W65" s="121"/>
    </row>
    <row r="66" ht="14.25" hidden="1" customHeight="1" outlineLevel="1">
      <c r="B66" s="77" t="s">
        <v>374</v>
      </c>
      <c r="C66" s="193">
        <f>'P-50 Base'!part_y*'P-50 Base'!y_scale</f>
        <v>46.6</v>
      </c>
      <c r="D66" s="10" t="s">
        <v>55</v>
      </c>
      <c r="J66" s="297"/>
      <c r="K66" s="76"/>
      <c r="N66" s="228"/>
      <c r="O66" s="121"/>
      <c r="P66" s="276"/>
      <c r="S66" s="76"/>
      <c r="V66" s="228"/>
      <c r="W66" s="121"/>
    </row>
    <row r="67" ht="14.25" hidden="1" customHeight="1" outlineLevel="1">
      <c r="B67" s="77" t="s">
        <v>375</v>
      </c>
      <c r="C67" s="193">
        <f>'P-50 Base'!part_z*'P-50 Base'!z_scale</f>
        <v>17.7</v>
      </c>
      <c r="D67" s="10" t="s">
        <v>55</v>
      </c>
      <c r="N67" s="228"/>
      <c r="O67" s="121"/>
      <c r="P67" s="276"/>
      <c r="R67" s="228"/>
      <c r="S67" s="121"/>
      <c r="V67" s="228"/>
      <c r="W67" s="121"/>
    </row>
    <row r="68" ht="14.25" hidden="1" customHeight="1" outlineLevel="1">
      <c r="B68" s="77" t="s">
        <v>376</v>
      </c>
      <c r="C68" s="233">
        <f>'P-50 Base'!part_vol*'P-50 Base'!x_scale*'P-50 Base'!y_scale*'P-50 Base'!z_scale</f>
        <v>8717.335786</v>
      </c>
      <c r="D68" s="10" t="s">
        <v>223</v>
      </c>
      <c r="N68" s="228"/>
      <c r="O68" s="121"/>
      <c r="P68" s="276"/>
      <c r="R68" s="228"/>
      <c r="S68" s="121"/>
      <c r="V68" s="228"/>
      <c r="W68" s="121"/>
    </row>
    <row r="69" ht="14.25" hidden="1" customHeight="1" outlineLevel="1">
      <c r="B69" s="77" t="s">
        <v>377</v>
      </c>
      <c r="C69" s="233">
        <f>IF('P-50 Base'!override_nesting="Yes",IF(OR(C22=0,C23=0),C19,C22),C19)</f>
        <v>819</v>
      </c>
      <c r="G69" s="76"/>
      <c r="R69" s="228"/>
      <c r="S69" s="121"/>
      <c r="V69" s="228"/>
      <c r="W69" s="121"/>
    </row>
    <row r="70" ht="14.25" hidden="1" customHeight="1" outlineLevel="1">
      <c r="B70" s="77" t="s">
        <v>58</v>
      </c>
      <c r="C70" s="298">
        <f>VLOOKUP($B70,Inputs!$B$6:$M$309,Inputs!M$1,0)</f>
        <v>0.6</v>
      </c>
      <c r="G70" s="76"/>
      <c r="R70" s="228"/>
      <c r="S70" s="121"/>
      <c r="V70" s="228"/>
      <c r="W70" s="121"/>
    </row>
    <row r="71" ht="14.25" hidden="1" customHeight="1" outlineLevel="1">
      <c r="B71" s="77" t="s">
        <v>54</v>
      </c>
      <c r="C71" s="234">
        <f>VLOOKUP($B71,Inputs!$B$6:$M$309,Inputs!M$1,0)</f>
        <v>490</v>
      </c>
      <c r="D71" s="10" t="s">
        <v>55</v>
      </c>
      <c r="G71" s="76"/>
      <c r="O71" s="231"/>
      <c r="R71" s="228"/>
      <c r="S71" s="121"/>
      <c r="V71" s="228"/>
      <c r="W71" s="121"/>
    </row>
    <row r="72" ht="14.25" hidden="1" customHeight="1" outlineLevel="1">
      <c r="B72" s="77" t="s">
        <v>56</v>
      </c>
      <c r="C72" s="234">
        <f>VLOOKUP($B72,Inputs!$B$6:$M$309,Inputs!M$1,0)</f>
        <v>380</v>
      </c>
      <c r="D72" s="10" t="s">
        <v>55</v>
      </c>
      <c r="G72" s="76"/>
      <c r="N72" s="228"/>
      <c r="O72" s="231"/>
      <c r="R72" s="228"/>
      <c r="S72" s="121"/>
      <c r="V72" s="228"/>
      <c r="W72" s="121"/>
    </row>
    <row r="73" ht="14.25" hidden="1" customHeight="1" outlineLevel="1">
      <c r="B73" s="77" t="s">
        <v>57</v>
      </c>
      <c r="C73" s="234">
        <f>VLOOKUP($B73,Inputs!$B$6:$M$309,Inputs!M$1,0)</f>
        <v>260</v>
      </c>
      <c r="D73" s="10" t="s">
        <v>55</v>
      </c>
      <c r="G73" s="76"/>
      <c r="N73" s="228"/>
      <c r="O73" s="231"/>
      <c r="R73" s="228"/>
      <c r="S73" s="121"/>
      <c r="V73" s="228"/>
      <c r="W73" s="121"/>
    </row>
    <row r="74" ht="14.25" hidden="1" customHeight="1" outlineLevel="1">
      <c r="B74" s="77" t="s">
        <v>378</v>
      </c>
      <c r="C74" s="119">
        <f>IF('P-50 Base'!override_nesting="Yes",IF(OR(C22=0,C23=0),C20,C23),C20)</f>
        <v>244.9</v>
      </c>
      <c r="D74" s="10" t="s">
        <v>55</v>
      </c>
      <c r="G74" s="76"/>
      <c r="N74" s="228"/>
      <c r="O74" s="231"/>
      <c r="R74" s="228"/>
      <c r="S74" s="121"/>
      <c r="V74" s="228"/>
      <c r="W74" s="121"/>
    </row>
    <row r="75" ht="14.25" hidden="1" customHeight="1" outlineLevel="1">
      <c r="B75" s="77" t="s">
        <v>379</v>
      </c>
      <c r="C75" s="119">
        <f>'P-50 Base'!build_x*'P-50 Base'!build_y*'P-50 Base'!build_height</f>
        <v>45600380</v>
      </c>
      <c r="D75" s="10" t="s">
        <v>223</v>
      </c>
      <c r="G75" s="76"/>
      <c r="N75" s="228"/>
      <c r="O75" s="231"/>
      <c r="R75" s="228"/>
      <c r="S75" s="121"/>
      <c r="V75" s="228"/>
      <c r="W75" s="121"/>
    </row>
    <row r="76" ht="14.25" hidden="1" customHeight="1" outlineLevel="1">
      <c r="B76" s="77" t="s">
        <v>99</v>
      </c>
      <c r="C76" s="237">
        <f>VLOOKUP($B76,Inputs!$B$6:$M$309,Inputs!M$1,0)</f>
        <v>0.5</v>
      </c>
      <c r="D76" s="10" t="s">
        <v>81</v>
      </c>
      <c r="G76" s="76"/>
      <c r="N76" s="228"/>
      <c r="O76" s="231"/>
      <c r="R76" s="228"/>
      <c r="S76" s="121"/>
      <c r="V76" s="228"/>
      <c r="W76" s="121"/>
    </row>
    <row r="77" ht="14.25" hidden="1" customHeight="1" outlineLevel="1">
      <c r="B77" s="77" t="s">
        <v>100</v>
      </c>
      <c r="C77" s="237">
        <f>VLOOKUP($B77,Inputs!$B$6:$M$309,Inputs!M$1,0)</f>
        <v>0.5</v>
      </c>
      <c r="D77" s="10" t="s">
        <v>81</v>
      </c>
      <c r="G77" s="76"/>
      <c r="N77" s="228"/>
      <c r="O77" s="231"/>
      <c r="R77" s="228"/>
      <c r="S77" s="121"/>
      <c r="V77" s="228"/>
      <c r="W77" s="121"/>
    </row>
    <row r="78" ht="14.25" hidden="1" customHeight="1" outlineLevel="1">
      <c r="B78" s="77" t="s">
        <v>101</v>
      </c>
      <c r="C78" s="237">
        <f>VLOOKUP($B78,Inputs!$B$6:$M$309,Inputs!M$1,0)</f>
        <v>0.5</v>
      </c>
      <c r="D78" s="10" t="s">
        <v>81</v>
      </c>
      <c r="G78" s="76"/>
      <c r="N78" s="228"/>
      <c r="O78" s="231"/>
      <c r="R78" s="228"/>
      <c r="S78" s="121"/>
      <c r="V78" s="228"/>
      <c r="W78" s="121"/>
    </row>
    <row r="79" ht="14.25" hidden="1" customHeight="1" outlineLevel="1">
      <c r="B79" s="77" t="s">
        <v>102</v>
      </c>
      <c r="C79" s="237">
        <f>VLOOKUP($B79,Inputs!$B$6:$M$309,Inputs!M$1,0)</f>
        <v>1</v>
      </c>
      <c r="D79" s="10" t="s">
        <v>81</v>
      </c>
      <c r="G79" s="76"/>
      <c r="N79" s="228"/>
      <c r="O79" s="231"/>
      <c r="R79" s="228"/>
      <c r="S79" s="121"/>
      <c r="V79" s="228"/>
      <c r="W79" s="121"/>
    </row>
    <row r="80" ht="14.25" hidden="1" customHeight="1" outlineLevel="1">
      <c r="B80" s="77" t="s">
        <v>59</v>
      </c>
      <c r="C80" s="232">
        <f>VLOOKUP($B80,Inputs!$B$6:$M$309,Inputs!M$1,0)</f>
        <v>6</v>
      </c>
      <c r="G80" s="76"/>
      <c r="N80" s="228"/>
      <c r="O80" s="231"/>
      <c r="R80" s="228"/>
      <c r="S80" s="121"/>
      <c r="V80" s="228"/>
      <c r="W80" s="121"/>
    </row>
    <row r="81" ht="14.25" hidden="1" customHeight="1" outlineLevel="1">
      <c r="B81" s="77" t="s">
        <v>60</v>
      </c>
      <c r="C81" s="230">
        <f>VLOOKUP($B81,Inputs!$B$6:$M$309,Inputs!M$1,0)</f>
        <v>0.001</v>
      </c>
      <c r="G81" s="76"/>
      <c r="N81" s="228"/>
      <c r="O81" s="231"/>
      <c r="R81" s="228"/>
      <c r="S81" s="121"/>
      <c r="V81" s="228"/>
      <c r="W81" s="121"/>
    </row>
    <row r="82" ht="14.25" hidden="1" customHeight="1" outlineLevel="1">
      <c r="B82" s="77" t="s">
        <v>61</v>
      </c>
      <c r="C82" s="230">
        <f>VLOOKUP($B82,Inputs!$B$6:$M$309,Inputs!M$1,0)</f>
        <v>0.7</v>
      </c>
      <c r="G82" s="76"/>
      <c r="N82" s="228"/>
      <c r="O82" s="231"/>
      <c r="R82" s="228"/>
      <c r="S82" s="121"/>
      <c r="V82" s="228"/>
      <c r="W82" s="121"/>
    </row>
    <row r="83" ht="14.25" hidden="1" customHeight="1" outlineLevel="1">
      <c r="B83" s="77" t="s">
        <v>64</v>
      </c>
      <c r="C83" s="237">
        <f>VLOOKUP($B83,Inputs!$B$6:$M$309,Inputs!M$1,0)</f>
        <v>20</v>
      </c>
      <c r="D83" s="10" t="s">
        <v>65</v>
      </c>
      <c r="G83" s="76"/>
      <c r="N83" s="228"/>
      <c r="O83" s="231"/>
      <c r="R83" s="228"/>
      <c r="S83" s="121"/>
      <c r="V83" s="228"/>
      <c r="W83" s="121"/>
    </row>
    <row r="84" ht="14.25" hidden="1" customHeight="1" outlineLevel="1">
      <c r="B84" s="77" t="s">
        <v>62</v>
      </c>
      <c r="C84" s="234">
        <f>VLOOKUP($B84,Inputs!$B$6:$M$309,Inputs!M$1,0)</f>
        <v>100</v>
      </c>
      <c r="D84" s="10" t="s">
        <v>63</v>
      </c>
      <c r="N84" s="228"/>
      <c r="O84" s="231"/>
      <c r="R84" s="228"/>
      <c r="S84" s="121"/>
      <c r="V84" s="228"/>
      <c r="W84" s="121"/>
    </row>
    <row r="85" ht="14.25" hidden="1" customHeight="1" outlineLevel="1">
      <c r="B85" s="77" t="s">
        <v>91</v>
      </c>
      <c r="C85" s="234">
        <f>VLOOKUP($B85,Inputs!$B$6:$M$309,Inputs!M$1,0)</f>
        <v>2500</v>
      </c>
      <c r="D85" s="10" t="s">
        <v>95</v>
      </c>
      <c r="G85" s="76"/>
      <c r="N85" s="228"/>
      <c r="O85" s="231"/>
      <c r="R85" s="228"/>
      <c r="S85" s="121"/>
      <c r="V85" s="228"/>
      <c r="W85" s="121"/>
    </row>
    <row r="86" ht="14.25" hidden="1" customHeight="1" outlineLevel="1">
      <c r="B86" s="77"/>
      <c r="C86" s="119"/>
      <c r="G86" s="76"/>
      <c r="N86" s="228"/>
      <c r="O86" s="231"/>
      <c r="R86" s="228"/>
      <c r="S86" s="121"/>
      <c r="V86" s="228"/>
      <c r="W86" s="121"/>
    </row>
    <row r="87" ht="14.25" hidden="1" customHeight="1" outlineLevel="1">
      <c r="B87" s="77"/>
      <c r="C87" s="119"/>
      <c r="G87" s="76"/>
      <c r="N87" s="228"/>
      <c r="O87" s="231"/>
      <c r="R87" s="228"/>
      <c r="S87" s="121"/>
      <c r="V87" s="228"/>
      <c r="W87" s="121"/>
    </row>
    <row r="88" ht="14.25" hidden="1" customHeight="1" outlineLevel="1">
      <c r="B88" s="77" t="s">
        <v>69</v>
      </c>
      <c r="C88" s="274">
        <f>IF('P-50 Base'!p_model="P-50",20,8.5)</f>
        <v>20</v>
      </c>
      <c r="D88" s="10" t="s">
        <v>55</v>
      </c>
      <c r="G88" s="76"/>
      <c r="N88" s="228"/>
      <c r="O88" s="231"/>
      <c r="R88" s="228"/>
      <c r="S88" s="121"/>
      <c r="V88" s="228"/>
      <c r="W88" s="121"/>
    </row>
    <row r="89" ht="14.25" hidden="1" customHeight="1" outlineLevel="1">
      <c r="B89" s="77" t="s">
        <v>70</v>
      </c>
      <c r="C89" s="274">
        <f>IF('P-50 Base'!p_model="P-50",10,4)</f>
        <v>10</v>
      </c>
      <c r="D89" s="10" t="s">
        <v>55</v>
      </c>
      <c r="G89" s="76"/>
      <c r="N89" s="228"/>
      <c r="O89" s="231"/>
      <c r="R89" s="228"/>
      <c r="S89" s="121"/>
      <c r="V89" s="228"/>
      <c r="W89" s="121"/>
    </row>
    <row r="90" ht="14.25" hidden="1" customHeight="1" outlineLevel="1">
      <c r="B90" s="77" t="s">
        <v>71</v>
      </c>
      <c r="C90" s="274">
        <v>1.0</v>
      </c>
      <c r="D90" s="10" t="s">
        <v>55</v>
      </c>
      <c r="G90" s="76"/>
      <c r="N90" s="228"/>
      <c r="O90" s="231"/>
      <c r="R90" s="228"/>
      <c r="S90" s="121"/>
      <c r="V90" s="228"/>
      <c r="W90" s="121"/>
    </row>
    <row r="91" ht="14.25" hidden="1" customHeight="1" outlineLevel="1">
      <c r="B91" s="77" t="s">
        <v>72</v>
      </c>
      <c r="C91" s="274">
        <v>0.4</v>
      </c>
      <c r="D91" s="10" t="s">
        <v>55</v>
      </c>
      <c r="G91" s="76"/>
      <c r="N91" s="228"/>
      <c r="O91" s="231"/>
      <c r="R91" s="228"/>
      <c r="S91" s="121"/>
      <c r="V91" s="228"/>
      <c r="W91" s="121"/>
    </row>
    <row r="92" ht="14.25" hidden="1" customHeight="1" outlineLevel="1">
      <c r="B92" s="77" t="s">
        <v>80</v>
      </c>
      <c r="C92" s="232">
        <f>VLOOKUP($B92,Inputs!$B$6:$M$309,Inputs!M$1,0)</f>
        <v>40</v>
      </c>
      <c r="D92" s="10" t="s">
        <v>81</v>
      </c>
      <c r="G92" s="76"/>
      <c r="N92" s="228"/>
      <c r="O92" s="231"/>
      <c r="R92" s="228"/>
      <c r="S92" s="121"/>
      <c r="V92" s="228"/>
      <c r="W92" s="121"/>
    </row>
    <row r="93" ht="14.25" hidden="1" customHeight="1" outlineLevel="1">
      <c r="B93" s="77" t="s">
        <v>84</v>
      </c>
      <c r="C93" s="234">
        <f>VLOOKUP($B93,Inputs!$B$6:$M$309,Inputs!M$1,0)</f>
        <v>2</v>
      </c>
      <c r="N93" s="228"/>
      <c r="O93" s="231"/>
      <c r="R93" s="228"/>
      <c r="S93" s="121"/>
      <c r="V93" s="228"/>
      <c r="W93" s="121"/>
    </row>
    <row r="94" ht="14.25" hidden="1" customHeight="1" outlineLevel="1">
      <c r="B94" s="77"/>
      <c r="C94" s="274"/>
      <c r="N94" s="228"/>
      <c r="O94" s="231"/>
      <c r="R94" s="228"/>
      <c r="S94" s="121"/>
      <c r="V94" s="228"/>
      <c r="W94" s="121"/>
    </row>
    <row r="95" ht="14.25" hidden="1" customHeight="1" outlineLevel="1">
      <c r="B95" s="77"/>
      <c r="C95" s="274"/>
      <c r="N95" s="228"/>
      <c r="O95" s="231"/>
      <c r="R95" s="228"/>
      <c r="S95" s="121"/>
    </row>
    <row r="96" ht="14.25" hidden="1" customHeight="1" outlineLevel="1">
      <c r="B96" s="77"/>
      <c r="C96" s="274"/>
      <c r="N96" s="228"/>
      <c r="O96" s="231"/>
      <c r="R96" s="228"/>
      <c r="S96" s="121"/>
      <c r="V96" s="228"/>
      <c r="W96" s="121"/>
    </row>
    <row r="97" ht="14.25" hidden="1" customHeight="1" outlineLevel="1">
      <c r="B97" s="77" t="s">
        <v>385</v>
      </c>
      <c r="C97" s="304">
        <f>IF('P-50 Base'!furnace_sel="Shop",IF(OR('P-50 Base'!part_scale_x&gt;dm_furnace_x,'P-50 Base'!part_scale_y&gt;dm_furnace_y),IF(AND('P-50 Base'!part_scale_y&lt;=dm_furnace_x,'P-50 Base'!part_scale_x&lt;=dm_furnace_y),'P-50 Base'!part_scale_y,"N.A."),'P-50 Base'!part_scale_x),IF(OR('P-50 Base'!part_scale_x&gt;'P-50 Base'!mim_furnace_x,'P-50 Base'!part_scale_y&gt;'P-50 Base'!mim_furnace_y),IF(AND('P-50 Base'!part_scale_y&lt;='P-50 Base'!mim_furnace_x,'P-50 Base'!part_scale_x&lt;='P-50 Base'!mim_furnace_y),'P-50 Base'!part_scale_y,"N.A."),'P-50 Base'!part_scale_x))</f>
        <v>46.4</v>
      </c>
      <c r="N97" s="228"/>
      <c r="O97" s="231"/>
      <c r="R97" s="228"/>
      <c r="S97" s="121"/>
      <c r="V97" s="228"/>
      <c r="W97" s="121"/>
    </row>
    <row r="98" ht="14.25" hidden="1" customHeight="1" outlineLevel="1">
      <c r="B98" s="77" t="s">
        <v>386</v>
      </c>
      <c r="C98" s="304">
        <f>IF(C97='P-50 Base'!part_scale_x,'P-50 Base'!part_scale_y,IF(C97='P-50 Base'!part_scale_y,'P-50 Base'!part_scale_x,"N.A."))</f>
        <v>46.6</v>
      </c>
      <c r="N98" s="228"/>
      <c r="O98" s="231"/>
      <c r="R98" s="228"/>
      <c r="S98" s="121"/>
      <c r="V98" s="228"/>
      <c r="W98" s="121"/>
    </row>
    <row r="99" ht="14.25" hidden="1" customHeight="1" outlineLevel="1">
      <c r="B99" s="77" t="s">
        <v>387</v>
      </c>
      <c r="C99" s="304">
        <f>IF(OR(C97="N.A.",C98="N.A."),"N.A.",'P-50 Base'!part_scale_z)</f>
        <v>17.7</v>
      </c>
      <c r="G99" s="10" t="s">
        <v>488</v>
      </c>
      <c r="N99" s="228"/>
      <c r="O99" s="231"/>
      <c r="R99" s="228"/>
      <c r="S99" s="121"/>
    </row>
    <row r="100" ht="14.25" hidden="1" customHeight="1" outlineLevel="1">
      <c r="B100" s="77" t="s">
        <v>191</v>
      </c>
      <c r="C100" s="274">
        <v>5.0</v>
      </c>
      <c r="D100" s="10" t="s">
        <v>55</v>
      </c>
      <c r="G100" s="10" t="s">
        <v>489</v>
      </c>
      <c r="N100" s="228"/>
      <c r="O100" s="231"/>
      <c r="R100" s="228"/>
      <c r="S100" s="121"/>
    </row>
    <row r="101" ht="14.25" hidden="1" customHeight="1" outlineLevel="1">
      <c r="B101" s="77" t="s">
        <v>192</v>
      </c>
      <c r="C101" s="274">
        <v>2.0</v>
      </c>
      <c r="D101" s="10" t="s">
        <v>55</v>
      </c>
      <c r="N101" s="228"/>
      <c r="O101" s="231"/>
      <c r="R101" s="228"/>
      <c r="S101" s="121"/>
    </row>
    <row r="102" ht="14.25" hidden="1" customHeight="1" outlineLevel="1">
      <c r="B102" s="77" t="s">
        <v>190</v>
      </c>
      <c r="C102" s="274">
        <v>2.6</v>
      </c>
      <c r="D102" s="10" t="s">
        <v>55</v>
      </c>
      <c r="N102" s="228"/>
      <c r="O102" s="231"/>
    </row>
    <row r="103" ht="14.25" hidden="1" customHeight="1" outlineLevel="1">
      <c r="B103" s="77"/>
      <c r="C103" s="159"/>
      <c r="N103" s="228"/>
      <c r="O103" s="231"/>
    </row>
    <row r="104" ht="14.25" hidden="1" customHeight="1" outlineLevel="1">
      <c r="B104" s="77"/>
      <c r="C104" s="159"/>
      <c r="N104" s="228"/>
      <c r="O104" s="231"/>
    </row>
    <row r="105" ht="14.25" hidden="1" customHeight="1" outlineLevel="1">
      <c r="B105" s="77"/>
      <c r="C105" s="159"/>
      <c r="N105" s="228"/>
      <c r="O105" s="231"/>
    </row>
    <row r="106" ht="14.25" hidden="1" customHeight="1" outlineLevel="1">
      <c r="B106" s="136" t="s">
        <v>381</v>
      </c>
      <c r="C106" s="291">
        <f>24*7*'P-50 Base'!weeks_yr</f>
        <v>8064</v>
      </c>
      <c r="N106" s="228"/>
      <c r="O106" s="231"/>
      <c r="V106" s="228"/>
      <c r="W106" s="121"/>
    </row>
    <row r="107" ht="14.25" hidden="1" customHeight="1" outlineLevel="1">
      <c r="N107" s="228"/>
      <c r="O107" s="231"/>
      <c r="V107" s="228"/>
      <c r="W107" s="121"/>
    </row>
    <row r="108" ht="14.25" hidden="1" customHeight="1" outlineLevel="1">
      <c r="A108" s="10" t="s">
        <v>45</v>
      </c>
      <c r="B108" s="91" t="s">
        <v>443</v>
      </c>
      <c r="C108" s="229">
        <f>VLOOKUP('P-50 Base'!furnace_sel,$B$126:$E$130,3,0)</f>
        <v>3</v>
      </c>
    </row>
    <row r="109" ht="14.25" hidden="1" customHeight="1" outlineLevel="1">
      <c r="B109" s="77" t="s">
        <v>444</v>
      </c>
      <c r="C109" s="299">
        <f>CHOOSE(C$108,305,420,420,420,999999,"N.A.")</f>
        <v>420</v>
      </c>
      <c r="D109" s="10" t="s">
        <v>55</v>
      </c>
      <c r="R109" s="228"/>
      <c r="S109" s="121"/>
    </row>
    <row r="110" ht="14.25" hidden="1" customHeight="1" outlineLevel="1">
      <c r="B110" s="77" t="s">
        <v>445</v>
      </c>
      <c r="C110" s="299">
        <f>CHOOSE(C$108,610,610,915,1524,999999,"N.A.")</f>
        <v>915</v>
      </c>
      <c r="D110" s="10" t="s">
        <v>55</v>
      </c>
      <c r="N110" s="228"/>
      <c r="O110" s="231"/>
      <c r="R110" s="228"/>
      <c r="S110" s="121"/>
    </row>
    <row r="111" ht="14.25" hidden="1" customHeight="1" outlineLevel="1">
      <c r="B111" s="77" t="s">
        <v>446</v>
      </c>
      <c r="C111" s="299">
        <f>CHOOSE(C$108,305,460,460,460,999999,"N.A.")</f>
        <v>460</v>
      </c>
      <c r="D111" s="10" t="s">
        <v>55</v>
      </c>
      <c r="N111" s="228"/>
      <c r="O111" s="231"/>
      <c r="R111" s="228"/>
      <c r="S111" s="121"/>
    </row>
    <row r="112" ht="14.25" hidden="1" customHeight="1" outlineLevel="1">
      <c r="B112" s="77" t="s">
        <v>447</v>
      </c>
      <c r="C112" s="300">
        <v>11.0</v>
      </c>
      <c r="N112" s="228"/>
      <c r="O112" s="231"/>
    </row>
    <row r="113" ht="14.25" hidden="1" customHeight="1" outlineLevel="1">
      <c r="B113" s="77" t="s">
        <v>448</v>
      </c>
      <c r="C113" s="301">
        <f>CHOOSE(C$108,18,20,22,26,24*5,"N.A.")</f>
        <v>22</v>
      </c>
      <c r="D113" s="10" t="s">
        <v>81</v>
      </c>
      <c r="N113" s="228"/>
      <c r="O113" s="231"/>
    </row>
    <row r="114" ht="14.25" hidden="1" customHeight="1" outlineLevel="1">
      <c r="B114" s="77" t="str">
        <f>IF('P-50 Base'!furnace_sel="Continuous","MIM furnace utilities rate","MIM furnace gas consumption")</f>
        <v>MIM furnace gas consumption</v>
      </c>
      <c r="C114" s="299">
        <f>CHOOSE(C$108,660,1300,1700,2800,11.1,"N.A.")</f>
        <v>1700</v>
      </c>
      <c r="D114" s="10" t="str">
        <f>IF('P-50 Base'!furnace_sel="Continuous","$/hr","L/hr")</f>
        <v>L/hr</v>
      </c>
      <c r="N114" s="228"/>
      <c r="O114" s="231"/>
    </row>
    <row r="115" ht="14.25" hidden="1" customHeight="1" outlineLevel="1">
      <c r="B115" s="136" t="str">
        <f>IF('P-50 Base'!furnace_sel="Continuous","MIM furnace consumables rate","MIM furnace power consumption")</f>
        <v>MIM furnace power consumption</v>
      </c>
      <c r="C115" s="302">
        <f>CHOOSE(C$108,60,80,100,120,4.57,"N.A.")</f>
        <v>100</v>
      </c>
      <c r="D115" s="10" t="str">
        <f>IF('P-50 Base'!furnace_sel="Continuous","$/hr","kW")</f>
        <v>kW</v>
      </c>
      <c r="N115" s="228"/>
      <c r="O115" s="231"/>
    </row>
    <row r="116" ht="14.25" hidden="1" customHeight="1" outlineLevel="1">
      <c r="N116" s="228"/>
      <c r="O116" s="231"/>
    </row>
    <row r="117" ht="14.25" hidden="1" customHeight="1" outlineLevel="1">
      <c r="A117" s="10" t="s">
        <v>45</v>
      </c>
      <c r="B117" s="96" t="s">
        <v>116</v>
      </c>
      <c r="C117" s="115"/>
      <c r="N117" s="228"/>
      <c r="O117" s="231"/>
    </row>
    <row r="118" ht="14.25" hidden="1" customHeight="1" outlineLevel="1">
      <c r="B118" s="77" t="s">
        <v>305</v>
      </c>
      <c r="C118" s="244">
        <f>IF('P-50 Base'!p_model="P-50",990000,442000)</f>
        <v>990000</v>
      </c>
      <c r="N118" s="228"/>
      <c r="O118" s="231"/>
    </row>
    <row r="119" ht="14.25" hidden="1" customHeight="1" outlineLevel="1">
      <c r="B119" s="77" t="s">
        <v>485</v>
      </c>
      <c r="C119" s="244">
        <f>IF('P-50 Base'!p_model="P-50",IF('P-50 Base'!p_config="Flex",50000,55000),50000)</f>
        <v>50000</v>
      </c>
    </row>
    <row r="120" ht="14.25" hidden="1" customHeight="1" outlineLevel="1">
      <c r="B120" s="77" t="s">
        <v>490</v>
      </c>
      <c r="C120" s="244">
        <f>IF('P-50 Base'!p_model="P-50",IF('P-50 Base'!p_config="Flex",0,40000),0)</f>
        <v>0</v>
      </c>
      <c r="V120" s="228"/>
      <c r="W120" s="121"/>
    </row>
    <row r="121" ht="14.25" hidden="1" customHeight="1" outlineLevel="1">
      <c r="B121" s="77" t="s">
        <v>451</v>
      </c>
      <c r="C121" s="244">
        <f>IF('P-50 Base'!p_model="P-50",150000,25000)</f>
        <v>150000</v>
      </c>
      <c r="V121" s="228"/>
      <c r="W121" s="121"/>
    </row>
    <row r="122" ht="14.25" hidden="1" customHeight="1" outlineLevel="1">
      <c r="B122" s="77" t="s">
        <v>498</v>
      </c>
      <c r="C122" s="244">
        <v>350000.0</v>
      </c>
      <c r="R122" s="228"/>
      <c r="S122" s="121"/>
    </row>
    <row r="123" ht="14.25" hidden="1" customHeight="1" outlineLevel="1">
      <c r="B123" s="77" t="s">
        <v>455</v>
      </c>
      <c r="C123" s="244">
        <f>IF('P-50 Base'!p_model="P-50",20000,4000)</f>
        <v>20000</v>
      </c>
      <c r="R123" s="228"/>
      <c r="S123" s="121"/>
    </row>
    <row r="124" ht="14.25" hidden="1" customHeight="1" outlineLevel="1">
      <c r="B124" s="77" t="s">
        <v>491</v>
      </c>
      <c r="C124" s="244">
        <f>IF('P-50 Base'!p_model="P-50",25000,0)</f>
        <v>25000</v>
      </c>
      <c r="R124" s="228"/>
      <c r="S124" s="121"/>
    </row>
    <row r="125" ht="14.25" hidden="1" customHeight="1" outlineLevel="1">
      <c r="B125" s="77"/>
      <c r="C125" s="244"/>
      <c r="N125" s="228"/>
      <c r="O125" s="231"/>
      <c r="R125" s="228"/>
      <c r="S125" s="121"/>
    </row>
    <row r="126" ht="14.25" hidden="1" customHeight="1" outlineLevel="1">
      <c r="B126" s="283">
        <v>2.0</v>
      </c>
      <c r="C126" s="244">
        <v>300000.0</v>
      </c>
      <c r="D126" s="9">
        <v>1.0</v>
      </c>
      <c r="N126" s="228"/>
      <c r="O126" s="231"/>
      <c r="R126" s="228"/>
      <c r="S126" s="121"/>
    </row>
    <row r="127" ht="14.25" hidden="1" customHeight="1" outlineLevel="1">
      <c r="B127" s="283">
        <v>4.0</v>
      </c>
      <c r="C127" s="244">
        <v>500000.0</v>
      </c>
      <c r="D127" s="9">
        <f t="shared" ref="D127:D130" si="9">D126+1</f>
        <v>2</v>
      </c>
      <c r="E127" s="124"/>
      <c r="G127" s="124"/>
      <c r="N127" s="228"/>
      <c r="O127" s="231"/>
    </row>
    <row r="128" ht="14.25" hidden="1" customHeight="1" outlineLevel="1">
      <c r="B128" s="283">
        <v>6.0</v>
      </c>
      <c r="C128" s="244">
        <v>700000.0</v>
      </c>
      <c r="D128" s="9">
        <f t="shared" si="9"/>
        <v>3</v>
      </c>
      <c r="E128" s="124"/>
    </row>
    <row r="129" ht="14.25" hidden="1" customHeight="1" outlineLevel="1">
      <c r="B129" s="283">
        <v>12.0</v>
      </c>
      <c r="C129" s="244">
        <v>1000000.0</v>
      </c>
      <c r="D129" s="9">
        <f t="shared" si="9"/>
        <v>4</v>
      </c>
      <c r="G129" s="124"/>
    </row>
    <row r="130" ht="14.25" hidden="1" customHeight="1" outlineLevel="1">
      <c r="B130" s="156" t="s">
        <v>176</v>
      </c>
      <c r="C130" s="244">
        <v>1000000.0</v>
      </c>
      <c r="D130" s="9">
        <f t="shared" si="9"/>
        <v>5</v>
      </c>
      <c r="E130" s="124"/>
    </row>
    <row r="131" ht="14.25" hidden="1" customHeight="1" outlineLevel="1">
      <c r="B131" s="77" t="s">
        <v>456</v>
      </c>
      <c r="C131" s="244">
        <v>100000.0</v>
      </c>
    </row>
    <row r="132" ht="14.25" hidden="1" customHeight="1" outlineLevel="1">
      <c r="B132" s="77" t="s">
        <v>457</v>
      </c>
      <c r="C132" s="244">
        <v>150000.0</v>
      </c>
    </row>
    <row r="133" ht="14.25" hidden="1" customHeight="1" outlineLevel="1">
      <c r="B133" s="77" t="s">
        <v>458</v>
      </c>
      <c r="C133" s="244">
        <v>200000.0</v>
      </c>
      <c r="V133" s="228"/>
      <c r="W133" s="121"/>
    </row>
    <row r="134" ht="14.25" hidden="1" customHeight="1" outlineLevel="1">
      <c r="B134" s="136" t="s">
        <v>459</v>
      </c>
      <c r="C134" s="305">
        <v>300000.0</v>
      </c>
    </row>
    <row r="135" ht="14.25" hidden="1" customHeight="1" outlineLevel="1">
      <c r="R135" s="228"/>
      <c r="S135" s="121"/>
    </row>
    <row r="136" ht="14.25" hidden="1" customHeight="1" outlineLevel="1">
      <c r="A136" s="10" t="s">
        <v>45</v>
      </c>
      <c r="B136" s="91" t="s">
        <v>460</v>
      </c>
      <c r="C136" s="284">
        <v>4.0</v>
      </c>
      <c r="D136" s="10" t="s">
        <v>461</v>
      </c>
      <c r="N136" s="228"/>
      <c r="O136" s="231"/>
      <c r="R136" s="228"/>
      <c r="S136" s="121"/>
    </row>
    <row r="137" ht="14.25" hidden="1" customHeight="1" outlineLevel="1">
      <c r="B137" s="77" t="s">
        <v>462</v>
      </c>
      <c r="C137" s="274">
        <v>4.0</v>
      </c>
      <c r="D137" s="10" t="s">
        <v>461</v>
      </c>
      <c r="E137" s="124"/>
      <c r="G137" s="124"/>
      <c r="N137" s="228"/>
      <c r="O137" s="231"/>
    </row>
    <row r="138" ht="14.25" hidden="1" customHeight="1" outlineLevel="1">
      <c r="B138" s="77" t="s">
        <v>463</v>
      </c>
      <c r="C138" s="274">
        <v>5.0</v>
      </c>
      <c r="D138" s="10" t="s">
        <v>461</v>
      </c>
      <c r="E138" s="124"/>
    </row>
    <row r="139" ht="14.25" hidden="1" customHeight="1" outlineLevel="1">
      <c r="B139" s="77" t="s">
        <v>464</v>
      </c>
      <c r="C139" s="274">
        <v>10.0</v>
      </c>
      <c r="D139" s="10" t="s">
        <v>461</v>
      </c>
    </row>
    <row r="140" ht="14.25" hidden="1" customHeight="1" outlineLevel="1">
      <c r="B140" s="136" t="s">
        <v>465</v>
      </c>
      <c r="C140" s="285">
        <v>20.0</v>
      </c>
      <c r="D140" s="10" t="s">
        <v>461</v>
      </c>
    </row>
    <row r="141" ht="14.25" hidden="1" customHeight="1" outlineLevel="1">
      <c r="F141" s="9"/>
    </row>
    <row r="142" ht="14.25" hidden="1" customHeight="1" outlineLevel="1">
      <c r="B142" s="217" t="s">
        <v>393</v>
      </c>
      <c r="C142" s="245">
        <f t="array" ref="C142">INDEX(C143:C152,VLOOKUP(C41,B141:F151,5,0))</f>
        <v>0.000008</v>
      </c>
      <c r="D142" s="10" t="s">
        <v>394</v>
      </c>
      <c r="F142" s="9"/>
    </row>
    <row r="143" ht="14.25" hidden="1" customHeight="1" outlineLevel="1">
      <c r="B143" s="77" t="s">
        <v>428</v>
      </c>
      <c r="C143" s="246">
        <v>7.74E-6</v>
      </c>
      <c r="D143" s="10" t="s">
        <v>394</v>
      </c>
      <c r="F143" s="9">
        <v>1.0</v>
      </c>
    </row>
    <row r="144" ht="14.25" hidden="1" customHeight="1" outlineLevel="1">
      <c r="B144" s="77" t="s">
        <v>466</v>
      </c>
      <c r="C144" s="246">
        <v>8.0E-6</v>
      </c>
      <c r="D144" s="10" t="s">
        <v>394</v>
      </c>
      <c r="F144" s="9">
        <f t="shared" ref="F144:F152" si="10">F143+1</f>
        <v>2</v>
      </c>
    </row>
    <row r="145" ht="14.25" hidden="1" customHeight="1" outlineLevel="1">
      <c r="B145" s="77" t="s">
        <v>149</v>
      </c>
      <c r="C145" s="246">
        <v>7.75E-6</v>
      </c>
      <c r="D145" s="10" t="s">
        <v>394</v>
      </c>
      <c r="F145" s="9">
        <f t="shared" si="10"/>
        <v>3</v>
      </c>
    </row>
    <row r="146" ht="14.25" hidden="1" customHeight="1" outlineLevel="1">
      <c r="B146" s="156">
        <v>4140.0</v>
      </c>
      <c r="C146" s="246">
        <v>7.85E-6</v>
      </c>
      <c r="D146" s="10" t="s">
        <v>394</v>
      </c>
      <c r="F146" s="9">
        <f t="shared" si="10"/>
        <v>4</v>
      </c>
    </row>
    <row r="147" ht="14.25" hidden="1" customHeight="1" outlineLevel="1">
      <c r="B147" s="77" t="s">
        <v>154</v>
      </c>
      <c r="C147" s="246">
        <v>1.04E-5</v>
      </c>
      <c r="D147" s="10" t="s">
        <v>394</v>
      </c>
      <c r="F147" s="9">
        <f t="shared" si="10"/>
        <v>5</v>
      </c>
    </row>
    <row r="148" ht="14.25" hidden="1" customHeight="1" outlineLevel="1">
      <c r="B148" s="77" t="s">
        <v>148</v>
      </c>
      <c r="C148" s="246">
        <v>1.56E-5</v>
      </c>
      <c r="D148" s="10" t="s">
        <v>394</v>
      </c>
      <c r="F148" s="9">
        <f t="shared" si="10"/>
        <v>6</v>
      </c>
    </row>
    <row r="149" ht="14.25" hidden="1" customHeight="1" outlineLevel="1">
      <c r="B149" s="77" t="s">
        <v>146</v>
      </c>
      <c r="C149" s="246">
        <v>8.96E-6</v>
      </c>
      <c r="D149" s="10" t="s">
        <v>394</v>
      </c>
      <c r="F149" s="9">
        <f t="shared" si="10"/>
        <v>7</v>
      </c>
    </row>
    <row r="150" ht="14.25" hidden="1" customHeight="1" outlineLevel="1">
      <c r="B150" s="77" t="s">
        <v>143</v>
      </c>
      <c r="C150" s="246">
        <v>2.7E-6</v>
      </c>
      <c r="D150" s="10" t="s">
        <v>394</v>
      </c>
      <c r="F150" s="9">
        <f t="shared" si="10"/>
        <v>8</v>
      </c>
    </row>
    <row r="151" ht="14.25" hidden="1" customHeight="1" outlineLevel="1">
      <c r="B151" s="77" t="s">
        <v>155</v>
      </c>
      <c r="C151" s="246">
        <v>4.42E-6</v>
      </c>
      <c r="D151" s="10" t="s">
        <v>394</v>
      </c>
      <c r="F151" s="9">
        <f t="shared" si="10"/>
        <v>9</v>
      </c>
    </row>
    <row r="152" ht="14.25" hidden="1" customHeight="1" outlineLevel="1">
      <c r="B152" s="136" t="s">
        <v>467</v>
      </c>
      <c r="C152" s="247">
        <v>8.3E-6</v>
      </c>
      <c r="D152" s="10" t="s">
        <v>394</v>
      </c>
      <c r="F152" s="9">
        <f t="shared" si="10"/>
        <v>10</v>
      </c>
    </row>
    <row r="153" ht="14.25" hidden="1" customHeight="1" outlineLevel="1">
      <c r="C153" s="124"/>
      <c r="F153" s="9"/>
    </row>
    <row r="154" ht="14.25" hidden="1" customHeight="1" outlineLevel="1">
      <c r="A154" s="10" t="s">
        <v>45</v>
      </c>
      <c r="B154" s="91" t="s">
        <v>428</v>
      </c>
      <c r="C154" s="286">
        <v>12.3</v>
      </c>
      <c r="D154" s="10" t="s">
        <v>349</v>
      </c>
      <c r="F154" s="9"/>
    </row>
    <row r="155" ht="14.25" hidden="1" customHeight="1" outlineLevel="1">
      <c r="B155" s="77" t="s">
        <v>466</v>
      </c>
      <c r="C155" s="277">
        <v>18.0</v>
      </c>
      <c r="D155" s="10" t="s">
        <v>349</v>
      </c>
      <c r="F155" s="9"/>
    </row>
    <row r="156" ht="14.25" hidden="1" customHeight="1" outlineLevel="1">
      <c r="B156" s="77" t="s">
        <v>149</v>
      </c>
      <c r="C156" s="277">
        <v>80.0</v>
      </c>
      <c r="D156" s="10" t="s">
        <v>349</v>
      </c>
      <c r="F156" s="9"/>
      <c r="G156" s="76"/>
    </row>
    <row r="157" ht="14.25" hidden="1" customHeight="1" outlineLevel="1">
      <c r="B157" s="156">
        <v>4140.0</v>
      </c>
      <c r="C157" s="277">
        <v>20.0</v>
      </c>
      <c r="D157" s="10" t="s">
        <v>349</v>
      </c>
      <c r="F157" s="9"/>
      <c r="G157" s="76"/>
    </row>
    <row r="158" ht="14.25" hidden="1" customHeight="1" outlineLevel="1">
      <c r="B158" s="77" t="s">
        <v>154</v>
      </c>
      <c r="C158" s="277">
        <v>1084.0</v>
      </c>
      <c r="D158" s="10" t="s">
        <v>349</v>
      </c>
      <c r="F158" s="9"/>
    </row>
    <row r="159" ht="14.25" hidden="1" customHeight="1" outlineLevel="1">
      <c r="B159" s="77" t="s">
        <v>148</v>
      </c>
      <c r="C159" s="277">
        <v>58407.0</v>
      </c>
      <c r="D159" s="10" t="s">
        <v>349</v>
      </c>
      <c r="F159" s="9"/>
    </row>
    <row r="160" ht="14.25" hidden="1" customHeight="1" outlineLevel="1">
      <c r="B160" s="77" t="s">
        <v>146</v>
      </c>
      <c r="C160" s="277">
        <v>38.0</v>
      </c>
      <c r="D160" s="10" t="s">
        <v>349</v>
      </c>
      <c r="F160" s="9"/>
      <c r="G160" s="76"/>
    </row>
    <row r="161" ht="14.25" hidden="1" customHeight="1" outlineLevel="1">
      <c r="B161" s="77" t="s">
        <v>143</v>
      </c>
      <c r="C161" s="277">
        <v>10.0</v>
      </c>
      <c r="D161" s="10" t="s">
        <v>349</v>
      </c>
      <c r="F161" s="9"/>
      <c r="G161" s="76"/>
    </row>
    <row r="162" ht="14.25" hidden="1" customHeight="1" outlineLevel="1">
      <c r="B162" s="77" t="s">
        <v>155</v>
      </c>
      <c r="C162" s="277">
        <v>200.0</v>
      </c>
      <c r="D162" s="10" t="s">
        <v>349</v>
      </c>
      <c r="F162" s="9"/>
    </row>
    <row r="163" ht="14.25" hidden="1" customHeight="1" outlineLevel="1">
      <c r="B163" s="77" t="s">
        <v>467</v>
      </c>
      <c r="C163" s="277">
        <v>0.0</v>
      </c>
      <c r="D163" s="10" t="s">
        <v>349</v>
      </c>
    </row>
    <row r="164" ht="14.25" hidden="1" customHeight="1" outlineLevel="1">
      <c r="B164" s="123"/>
      <c r="C164" s="123"/>
      <c r="F164" s="9"/>
    </row>
    <row r="165" ht="14.25" hidden="1" customHeight="1" outlineLevel="1">
      <c r="A165" s="10" t="s">
        <v>45</v>
      </c>
      <c r="B165" s="91" t="s">
        <v>395</v>
      </c>
      <c r="C165" s="252">
        <f>G9*'P-50 Base'!total_builds_yr</f>
        <v>6133.473081</v>
      </c>
      <c r="D165" s="10" t="s">
        <v>95</v>
      </c>
      <c r="F165" s="9">
        <f>7*18.3*12</f>
        <v>1537.2</v>
      </c>
    </row>
    <row r="166" ht="14.25" hidden="1" customHeight="1" outlineLevel="1">
      <c r="B166" s="77" t="s">
        <v>396</v>
      </c>
      <c r="C166" s="277">
        <v>150.0</v>
      </c>
      <c r="D166" s="10" t="s">
        <v>353</v>
      </c>
      <c r="F166" s="9">
        <f>2*F165</f>
        <v>3074.4</v>
      </c>
    </row>
    <row r="167" ht="14.25" hidden="1" customHeight="1" outlineLevel="1">
      <c r="B167" s="77" t="s">
        <v>397</v>
      </c>
      <c r="C167" s="277">
        <v>125.0</v>
      </c>
      <c r="D167" s="10" t="s">
        <v>353</v>
      </c>
      <c r="F167" s="9"/>
    </row>
    <row r="168" ht="14.25" hidden="1" customHeight="1" outlineLevel="1">
      <c r="B168" s="77" t="s">
        <v>398</v>
      </c>
      <c r="C168" s="277">
        <v>100.0</v>
      </c>
      <c r="D168" s="10" t="s">
        <v>353</v>
      </c>
    </row>
    <row r="169" ht="14.25" customHeight="1" collapsed="1">
      <c r="B169" s="136" t="s">
        <v>399</v>
      </c>
      <c r="C169" s="168">
        <f>(MIN('P-50 Base'!binder_per_yr,F165)*C166+MAX(0,MIN('P-50 Base'!binder_per_yr,F166)-F165)*C167+MAX(0,'P-50 Base'!binder_per_yr-F166)*C168)/'P-50 Base'!binder_per_yr</f>
        <v>118.7968543</v>
      </c>
      <c r="D169" s="10" t="s">
        <v>353</v>
      </c>
    </row>
    <row r="170" ht="14.25" customHeight="1"/>
    <row r="171" ht="14.25" customHeight="1">
      <c r="H171" s="211"/>
    </row>
    <row r="172" ht="14.25" customHeight="1">
      <c r="H172" s="211"/>
    </row>
    <row r="173" ht="14.25" customHeight="1"/>
    <row r="174" ht="14.25" customHeight="1">
      <c r="H174" s="76"/>
    </row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G2"/>
  </mergeCells>
  <conditionalFormatting sqref="B13:C13">
    <cfRule type="expression" dxfId="3" priority="1">
      <formula>$C$14="P-1"</formula>
    </cfRule>
  </conditionalFormatting>
  <conditionalFormatting sqref="B16:C17 C18">
    <cfRule type="expression" dxfId="1" priority="2">
      <formula>$C$15="No"</formula>
    </cfRule>
  </conditionalFormatting>
  <conditionalFormatting sqref="B17:C17">
    <cfRule type="expression" dxfId="1" priority="3">
      <formula>$C$16="Continuous"</formula>
    </cfRule>
  </conditionalFormatting>
  <conditionalFormatting sqref="B19:C20">
    <cfRule type="expression" dxfId="1" priority="4">
      <formula>$C$21="Yes"</formula>
    </cfRule>
  </conditionalFormatting>
  <conditionalFormatting sqref="B22:C23">
    <cfRule type="expression" dxfId="1" priority="5">
      <formula>$C$21="No"</formula>
    </cfRule>
  </conditionalFormatting>
  <conditionalFormatting sqref="B38:C38">
    <cfRule type="expression" dxfId="5" priority="6">
      <formula>AND($C$18="Yes",$C$16="Shop")</formula>
    </cfRule>
  </conditionalFormatting>
  <conditionalFormatting sqref="C18">
    <cfRule type="expression" dxfId="1" priority="7">
      <formula>$C$16="Continuous"</formula>
    </cfRule>
  </conditionalFormatting>
  <conditionalFormatting sqref="C45">
    <cfRule type="expression" dxfId="0" priority="8">
      <formula>$C$47="EMEA"</formula>
    </cfRule>
  </conditionalFormatting>
  <conditionalFormatting sqref="J5:K18">
    <cfRule type="expression" dxfId="3" priority="9">
      <formula>$C$16="Continuous"</formula>
    </cfRule>
  </conditionalFormatting>
  <conditionalFormatting sqref="K31">
    <cfRule type="expression" dxfId="1" priority="10">
      <formula>$C$16="Shop"</formula>
    </cfRule>
  </conditionalFormatting>
  <conditionalFormatting sqref="K31">
    <cfRule type="cellIs" dxfId="2" priority="11" operator="greaterThan">
      <formula>1</formula>
    </cfRule>
  </conditionalFormatting>
  <conditionalFormatting sqref="K33">
    <cfRule type="expression" dxfId="6" priority="12">
      <formula>$C$16="Shop"</formula>
    </cfRule>
  </conditionalFormatting>
  <dataValidations>
    <dataValidation type="list" allowBlank="1" showInputMessage="1" showErrorMessage="1" prompt="Select a model from the dropdown menu (P-50, P-1)." sqref="C14">
      <formula1>"P-1,P-50"</formula1>
    </dataValidation>
    <dataValidation type="list" allowBlank="1" showInputMessage="1" showErrorMessage="1" prompt="If using a Shop Furnace, choose whether to limit to qty 1 or allow multiple." sqref="C21">
      <formula1>"No,Yes"</formula1>
    </dataValidation>
    <dataValidation type="list" allowBlank="1" showErrorMessage="1" sqref="C46">
      <formula1>"APAC,NAM,EMEA"</formula1>
    </dataValidation>
    <dataValidation type="list" allowBlank="1" showErrorMessage="1" sqref="C13">
      <formula1>"Flex,Auto"</formula1>
    </dataValidation>
    <dataValidation type="list" allowBlank="1" showInputMessage="1" showErrorMessage="1" prompt="Select the debind type from the dropdown menu (integrated vs. separate air debind)." sqref="C17">
      <formula1>"Integrated,Separate"</formula1>
    </dataValidation>
    <dataValidation type="list" allowBlank="1" showInputMessage="1" showErrorMessage="1" prompt="If prospect only wants to evaluate process costs up to sintering, choose no. Otherwise choose yes." sqref="C15">
      <formula1>"Yes,No"</formula1>
    </dataValidation>
    <dataValidation type="list" allowBlank="1" showErrorMessage="1" sqref="C41">
      <formula1>$B$143:$B$151</formula1>
    </dataValidation>
    <dataValidation type="list" allowBlank="1" showInputMessage="1" showErrorMessage="1" prompt="Default is no. Choose yes to limit configuration to a single furnace of the chosen size." sqref="C18">
      <formula1>"No,Yes"</formula1>
    </dataValidation>
    <dataValidation type="list" allowBlank="1" showInputMessage="1" showErrorMessage="1" prompt="Select a furnace from the dropdown menu (MIM size)." sqref="C16">
      <formula1>"2,4,6,12,Continuous"</formula1>
    </dataValidation>
  </dataValidations>
  <printOptions/>
  <pageMargins bottom="0.75" footer="0.0" header="0.0" left="0.7" right="0.7" top="0.75"/>
  <pageSetup scale="28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2"/>
  <cols>
    <col customWidth="1" min="1" max="1" width="1.86"/>
    <col customWidth="1" min="2" max="2" width="30.86"/>
    <col customWidth="1" min="3" max="3" width="13.43"/>
    <col customWidth="1" min="4" max="4" width="6.86"/>
    <col customWidth="1" min="5" max="5" width="1.86"/>
    <col customWidth="1" min="6" max="6" width="30.86"/>
    <col customWidth="1" min="7" max="7" width="13.43"/>
    <col customWidth="1" min="8" max="8" width="6.86"/>
    <col customWidth="1" min="9" max="9" width="1.86"/>
    <col customWidth="1" min="10" max="10" width="30.86"/>
    <col customWidth="1" min="11" max="11" width="13.43"/>
    <col customWidth="1" min="12" max="12" width="6.86"/>
    <col customWidth="1" min="13" max="13" width="1.86"/>
    <col customWidth="1" min="14" max="14" width="11.43"/>
    <col customWidth="1" min="15" max="16" width="13.43"/>
    <col customWidth="1" min="17" max="17" width="5.86"/>
    <col customWidth="1" min="18" max="18" width="10.86"/>
    <col customWidth="1" min="19" max="19" width="13.43"/>
    <col customWidth="1" min="20" max="21" width="10.86"/>
    <col customWidth="1" min="22" max="22" width="10.43"/>
    <col customWidth="1" min="23" max="24" width="8.86"/>
    <col customWidth="1" min="25" max="25" width="11.14"/>
    <col customWidth="1" min="26" max="26" width="6.43"/>
    <col customWidth="1" min="27" max="29" width="8.86"/>
  </cols>
  <sheetData>
    <row r="1" ht="14.25" customHeight="1">
      <c r="G1" s="76"/>
      <c r="K1" s="76"/>
    </row>
    <row r="2" ht="14.25" customHeight="1">
      <c r="A2" s="10" t="s">
        <v>45</v>
      </c>
      <c r="B2" s="262" t="str">
        <f>Shop!B2</f>
        <v>#VALUE!</v>
      </c>
      <c r="C2" s="263"/>
      <c r="D2" s="263"/>
      <c r="E2" s="263"/>
      <c r="F2" s="264" t="s">
        <v>468</v>
      </c>
      <c r="G2" s="68"/>
      <c r="H2" s="263"/>
      <c r="I2" s="263"/>
      <c r="J2" s="263"/>
      <c r="K2" s="265" t="s">
        <v>215</v>
      </c>
      <c r="M2" s="10" t="s">
        <v>45</v>
      </c>
      <c r="N2" s="266" t="s">
        <v>469</v>
      </c>
      <c r="O2" s="263"/>
      <c r="P2" s="263"/>
      <c r="Q2" s="263"/>
      <c r="R2" s="263"/>
      <c r="S2" s="263"/>
      <c r="T2" s="267"/>
      <c r="U2" s="79"/>
      <c r="V2" s="79"/>
      <c r="W2" s="79"/>
      <c r="X2" s="79"/>
      <c r="Y2" s="79"/>
      <c r="Z2" s="79"/>
      <c r="AA2" s="79"/>
      <c r="AB2" s="115"/>
    </row>
    <row r="3" ht="14.25" customHeight="1">
      <c r="N3" s="77" t="s">
        <v>406</v>
      </c>
      <c r="P3" s="78">
        <f>G19+G34+G46+K41*'P-50 Auto'!ppu_msrp</f>
        <v>4930000</v>
      </c>
      <c r="Q3" s="79"/>
      <c r="R3" s="10" t="str">
        <f>"Printed parts / "&amp;C14&amp;" build"</f>
        <v>Printed parts / P-50 build</v>
      </c>
      <c r="T3" s="80">
        <f>'P-50 Auto'!parts_job</f>
        <v>819</v>
      </c>
      <c r="AB3" s="81"/>
    </row>
    <row r="4" ht="14.25" customHeight="1">
      <c r="A4" s="10" t="s">
        <v>45</v>
      </c>
      <c r="B4" s="86" t="s">
        <v>217</v>
      </c>
      <c r="C4" s="87"/>
      <c r="E4" s="10" t="s">
        <v>45</v>
      </c>
      <c r="F4" s="86" t="s">
        <v>218</v>
      </c>
      <c r="G4" s="87"/>
      <c r="I4" s="10" t="s">
        <v>45</v>
      </c>
      <c r="J4" s="86" t="s">
        <v>470</v>
      </c>
      <c r="K4" s="87"/>
      <c r="N4" s="77" t="str">
        <f>IF(C16="Shop","DM",IF('P-50 Auto'!furnace_sel&lt;&gt;"Continuous",C16&amp;" cu ft MIM","Continuous"))&amp;" furnace MSRP"</f>
        <v>Continuous furnace MSRP</v>
      </c>
      <c r="P4" s="78">
        <f>K33+K14</f>
        <v>3000000</v>
      </c>
      <c r="R4" s="10" t="s">
        <v>220</v>
      </c>
      <c r="T4" s="88">
        <f>G16</f>
        <v>0.1565666341</v>
      </c>
      <c r="AB4" s="81"/>
    </row>
    <row r="5" ht="14.25" customHeight="1">
      <c r="B5" s="91" t="s">
        <v>221</v>
      </c>
      <c r="C5" s="92">
        <v>40.0</v>
      </c>
      <c r="D5" s="10" t="s">
        <v>55</v>
      </c>
      <c r="F5" s="91" t="s">
        <v>222</v>
      </c>
      <c r="G5" s="93">
        <f>'P-50 Auto'!part_vol_scale*'P-50 Auto'!bed_density</f>
        <v>5230.401471</v>
      </c>
      <c r="H5" s="10" t="s">
        <v>223</v>
      </c>
      <c r="J5" s="91" t="s">
        <v>471</v>
      </c>
      <c r="K5" s="94" t="str">
        <f>K21</f>
        <v>Continuous</v>
      </c>
      <c r="L5" s="10" t="s">
        <v>184</v>
      </c>
      <c r="N5" s="96" t="s">
        <v>225</v>
      </c>
      <c r="O5" s="96"/>
      <c r="P5" s="97">
        <f>SUM(P3:P4)</f>
        <v>7930000</v>
      </c>
      <c r="T5" s="98"/>
      <c r="AB5" s="81"/>
    </row>
    <row r="6" ht="14.25" customHeight="1">
      <c r="B6" s="77" t="s">
        <v>226</v>
      </c>
      <c r="C6" s="92">
        <v>40.0</v>
      </c>
      <c r="D6" s="10" t="s">
        <v>55</v>
      </c>
      <c r="F6" s="77" t="s">
        <v>227</v>
      </c>
      <c r="G6" s="101">
        <f>G5*'P-50 Auto'!density_selected*1000</f>
        <v>40.48330739</v>
      </c>
      <c r="H6" s="10" t="s">
        <v>228</v>
      </c>
      <c r="J6" s="77" t="s">
        <v>239</v>
      </c>
      <c r="K6" s="110">
        <f t="shared" ref="K6:K7" si="1">K25</f>
        <v>5474685</v>
      </c>
      <c r="N6" s="103" t="str">
        <f>C14&amp;" printers required"</f>
        <v>P-50 printers required</v>
      </c>
      <c r="O6" s="11"/>
      <c r="P6" s="104">
        <f>G10</f>
        <v>3</v>
      </c>
      <c r="R6" s="10" t="s">
        <v>229</v>
      </c>
      <c r="T6" s="105">
        <f>T8/'P-50 Auto'!weeks_yr</f>
        <v>139.2624389</v>
      </c>
      <c r="AB6" s="81"/>
    </row>
    <row r="7" ht="14.25" customHeight="1">
      <c r="B7" s="77" t="s">
        <v>230</v>
      </c>
      <c r="C7" s="92">
        <v>15.0</v>
      </c>
      <c r="D7" s="10" t="s">
        <v>55</v>
      </c>
      <c r="F7" s="77" t="s">
        <v>231</v>
      </c>
      <c r="G7" s="108">
        <f>(G6*'P-50 Auto'!parts_job)/1000+(('P-50 Auto'!build_vol*'P-50 Auto'!bed_density*'P-50 Auto'!density_selected*'P-50 Auto'!powder_ratio)-(G6*'P-50 Auto'!parts_job)/1000)*'P-50 Auto'!powder_loss_percentage</f>
        <v>34.39328191</v>
      </c>
      <c r="H7" s="10" t="s">
        <v>87</v>
      </c>
      <c r="J7" s="77" t="s">
        <v>243</v>
      </c>
      <c r="K7" s="110">
        <f t="shared" si="1"/>
        <v>600</v>
      </c>
      <c r="N7" s="103" t="s">
        <v>408</v>
      </c>
      <c r="P7" s="109">
        <f>IF('P-50 Auto'!furnace_sel="Shop",K11,K31)</f>
        <v>3</v>
      </c>
      <c r="R7" s="10" t="s">
        <v>233</v>
      </c>
      <c r="T7" s="105">
        <f>T6*4</f>
        <v>557.0497558</v>
      </c>
      <c r="AB7" s="81"/>
    </row>
    <row r="8" ht="14.25" customHeight="1">
      <c r="B8" s="77" t="s">
        <v>234</v>
      </c>
      <c r="C8" s="92">
        <v>5466.607</v>
      </c>
      <c r="D8" s="10" t="s">
        <v>223</v>
      </c>
      <c r="F8" s="77" t="s">
        <v>235</v>
      </c>
      <c r="G8" s="110">
        <f>'P-50 Auto'!part_vol_scale*(1-'P-50 Auto'!bed_density)*'P-50 Auto'!binder_void_ratio</f>
        <v>2440.85402</v>
      </c>
      <c r="H8" s="10" t="s">
        <v>223</v>
      </c>
      <c r="J8" s="77" t="s">
        <v>246</v>
      </c>
      <c r="K8" s="193">
        <f>6+K6/K7*1</f>
        <v>9130.475</v>
      </c>
      <c r="L8" s="10" t="s">
        <v>81</v>
      </c>
      <c r="N8" s="77"/>
      <c r="R8" s="10" t="s">
        <v>236</v>
      </c>
      <c r="T8" s="105">
        <f>'P-50 Auto'!total_builds_yr</f>
        <v>6684.59707</v>
      </c>
      <c r="AB8" s="81"/>
    </row>
    <row r="9" ht="14.25" customHeight="1">
      <c r="B9" s="77" t="s">
        <v>237</v>
      </c>
      <c r="C9" s="92"/>
      <c r="D9" s="10" t="s">
        <v>223</v>
      </c>
      <c r="F9" s="77" t="s">
        <v>238</v>
      </c>
      <c r="G9" s="112">
        <f>G8*'P-50 Auto'!parts_job/10^6+('P-50 Auto'!build_layers/C80)*'P-50 Auto'!binder_purge_vol/1000</f>
        <v>2.752659442</v>
      </c>
      <c r="H9" s="10" t="s">
        <v>95</v>
      </c>
      <c r="J9" s="77" t="s">
        <v>249</v>
      </c>
      <c r="K9" s="193">
        <f>('P-50 Auto'!good_parts_job/K6*K8)</f>
        <v>1.365897586</v>
      </c>
      <c r="L9" s="10" t="s">
        <v>81</v>
      </c>
      <c r="N9" s="114" t="s">
        <v>472</v>
      </c>
      <c r="T9" s="115"/>
      <c r="AB9" s="81"/>
    </row>
    <row r="10" ht="14.25" customHeight="1">
      <c r="B10" s="77" t="s">
        <v>241</v>
      </c>
      <c r="C10" s="117">
        <f>'P-50 Auto'!part_only_vol+'P-50 Auto'!support_vol</f>
        <v>5466.607</v>
      </c>
      <c r="D10" s="10" t="s">
        <v>223</v>
      </c>
      <c r="F10" s="77" t="s">
        <v>245</v>
      </c>
      <c r="G10" s="110">
        <f>ROUNDUP('P-50 Auto'!part_req/'P-50 Auto'!part_capacity,0)</f>
        <v>3</v>
      </c>
      <c r="H10" s="124"/>
      <c r="J10" s="77" t="s">
        <v>252</v>
      </c>
      <c r="K10" s="119">
        <f>ROUNDDOWN('P-50 Auto'!total_hours_yr/K9,0)</f>
        <v>5903</v>
      </c>
      <c r="N10" s="91" t="s">
        <v>244</v>
      </c>
      <c r="O10" s="115"/>
      <c r="P10" s="120">
        <f>P32+P33+P35+P36</f>
        <v>0.9601786283</v>
      </c>
      <c r="Q10" s="121"/>
      <c r="R10" s="10" t="str">
        <f>IF($C$15="Yes","Sintered","Green")&amp;" parts / week"</f>
        <v>Sintered parts / week</v>
      </c>
      <c r="T10" s="80">
        <f>T12/'P-50 Auto'!weeks_yr</f>
        <v>114055.9375</v>
      </c>
      <c r="AB10" s="81"/>
    </row>
    <row r="11" ht="14.25" customHeight="1">
      <c r="B11" s="123"/>
      <c r="C11" s="123"/>
      <c r="F11" s="77" t="s">
        <v>248</v>
      </c>
      <c r="G11" s="119">
        <f>'P-50 Auto'!part_req/'P-50 Auto'!good_parts_job*'P-50 Auto'!print_time_trn</f>
        <v>24192.00243</v>
      </c>
      <c r="H11" s="10" t="s">
        <v>81</v>
      </c>
      <c r="J11" s="77" t="s">
        <v>255</v>
      </c>
      <c r="K11" s="119">
        <f>K30</f>
        <v>1</v>
      </c>
      <c r="N11" s="77" t="str">
        <f>IF(C15="Yes","Sintered","Green")&amp;" part cost"</f>
        <v>Sintered part cost</v>
      </c>
      <c r="O11" s="81"/>
      <c r="P11" s="126">
        <f>T37-T34</f>
        <v>1.145047064</v>
      </c>
      <c r="Q11" s="121"/>
      <c r="R11" s="10" t="str">
        <f>IF($C$15="Yes","Sintered","Green")&amp;" parts / month"</f>
        <v>Sintered parts / month</v>
      </c>
      <c r="T11" s="105">
        <f>T10*4</f>
        <v>456223.75</v>
      </c>
      <c r="AB11" s="81"/>
    </row>
    <row r="12" ht="14.25" customHeight="1">
      <c r="A12" s="10" t="s">
        <v>45</v>
      </c>
      <c r="B12" s="86" t="s">
        <v>247</v>
      </c>
      <c r="C12" s="87"/>
      <c r="F12" s="77" t="s">
        <v>251</v>
      </c>
      <c r="G12" s="119">
        <f>'P-50 Auto'!part_req/'P-50 Auto'!good_parts_job</f>
        <v>6684.59707</v>
      </c>
      <c r="J12" s="77" t="s">
        <v>473</v>
      </c>
      <c r="K12" s="119">
        <f>ROUNDUP('P-50 Auto'!total_builds_yr/K10,0)</f>
        <v>2</v>
      </c>
      <c r="N12" s="91" t="str">
        <f t="shared" ref="N12:N13" si="2">N10&amp;" / cc"</f>
        <v>Printed part cost / cc</v>
      </c>
      <c r="O12" s="131"/>
      <c r="P12" s="120">
        <f>P10/'P-50 Auto'!part_only_vol*10^3</f>
        <v>0.1756443491</v>
      </c>
      <c r="Q12" s="121"/>
      <c r="R12" s="10" t="str">
        <f>IF($C$15="Yes","Sintered","Green")&amp;" parts / year"</f>
        <v>Sintered parts / year</v>
      </c>
      <c r="T12" s="132">
        <f>'P-50 Auto'!part_req</f>
        <v>5474685</v>
      </c>
      <c r="AB12" s="81"/>
    </row>
    <row r="13" ht="14.25" customHeight="1">
      <c r="B13" s="77" t="s">
        <v>474</v>
      </c>
      <c r="C13" s="148" t="s">
        <v>475</v>
      </c>
      <c r="F13" s="77" t="s">
        <v>254</v>
      </c>
      <c r="G13" s="119">
        <f>G12/12</f>
        <v>557.0497558</v>
      </c>
      <c r="J13" s="77" t="s">
        <v>476</v>
      </c>
      <c r="K13" s="119">
        <f>K8*K11</f>
        <v>9130.475</v>
      </c>
      <c r="L13" s="10" t="s">
        <v>81</v>
      </c>
      <c r="N13" s="136" t="str">
        <f t="shared" si="2"/>
        <v>Sintered part cost / cc</v>
      </c>
      <c r="O13" s="137"/>
      <c r="P13" s="269">
        <f>P11/'P-50 Auto'!part_only_vol*10^3</f>
        <v>0.2094621151</v>
      </c>
      <c r="Q13" s="121"/>
      <c r="T13" s="119"/>
      <c r="X13" s="171"/>
      <c r="Y13" s="171"/>
      <c r="Z13" s="171"/>
      <c r="AA13" s="171"/>
      <c r="AB13" s="288"/>
    </row>
    <row r="14" ht="14.25" customHeight="1">
      <c r="B14" s="224" t="s">
        <v>414</v>
      </c>
      <c r="C14" s="148" t="s">
        <v>492</v>
      </c>
      <c r="F14" s="77" t="s">
        <v>257</v>
      </c>
      <c r="G14" s="144">
        <f>G11/('P-50 Auto'!avail_hours_yr*G10)</f>
        <v>1.000000101</v>
      </c>
      <c r="J14" s="77" t="s">
        <v>478</v>
      </c>
      <c r="K14" s="158">
        <f>OFFSET(C126,'P-50 Auto'!furnace_index-1,)*K12</f>
        <v>0</v>
      </c>
      <c r="N14" s="77"/>
      <c r="P14" s="124"/>
      <c r="Q14" s="121"/>
      <c r="R14" s="10" t="str">
        <f>"Printer util (QTY: "&amp;G10&amp;")"</f>
        <v>Printer util (QTY: 3)</v>
      </c>
      <c r="T14" s="141">
        <f>G14</f>
        <v>1.000000101</v>
      </c>
      <c r="V14" s="11"/>
      <c r="AB14" s="81"/>
    </row>
    <row r="15" ht="14.25" customHeight="1">
      <c r="B15" s="77" t="s">
        <v>256</v>
      </c>
      <c r="C15" s="148" t="s">
        <v>67</v>
      </c>
      <c r="F15" s="77" t="s">
        <v>260</v>
      </c>
      <c r="G15" s="144">
        <f>G11/(24*7*52*G10)</f>
        <v>0.923077016</v>
      </c>
      <c r="J15" s="77" t="s">
        <v>479</v>
      </c>
      <c r="K15" s="158">
        <f>K14/'P-50 Auto'!furnace_depr+OFFSET(C131,'P-50 Auto'!furnace_index-1,)*K12*'P-50 Auto'!floor_rate</f>
        <v>6400</v>
      </c>
      <c r="N15" s="114" t="s">
        <v>480</v>
      </c>
      <c r="P15" s="10"/>
      <c r="Q15" s="121"/>
      <c r="R15" s="10" t="str">
        <f>"Crosslink util (QTY: "&amp;1&amp;")"</f>
        <v>Crosslink util (QTY: 1)</v>
      </c>
      <c r="T15" s="145">
        <f>G33/('P-50 Auto'!total_hours_yr*'P-50 Auto'!uptime)</f>
        <v>2.637208045</v>
      </c>
      <c r="AB15" s="81"/>
    </row>
    <row r="16" ht="14.25" customHeight="1">
      <c r="B16" s="77" t="s">
        <v>224</v>
      </c>
      <c r="C16" s="148" t="s">
        <v>176</v>
      </c>
      <c r="D16" s="95" t="str">
        <f>IF(C16="Shop",,"ft3")</f>
        <v>ft3</v>
      </c>
      <c r="F16" s="77" t="s">
        <v>314</v>
      </c>
      <c r="G16" s="150">
        <f>'P-50 Auto'!part_vol_scale*'P-50 Auto'!parts_job/'P-50 Auto'!build_vol</f>
        <v>0.1565666341</v>
      </c>
      <c r="J16" s="77" t="s">
        <v>286</v>
      </c>
      <c r="K16" s="159">
        <f>IF('P-50 Auto'!furnace_sel="Continuous",0,K13/('P-50 Auto'!total_hours_yr*K12)*K15/'P-50 Auto'!part_req)</f>
        <v>0</v>
      </c>
      <c r="N16" s="91" t="s">
        <v>244</v>
      </c>
      <c r="O16" s="115"/>
      <c r="P16" s="120">
        <f>SUM(P32:P36)</f>
        <v>1.02926608</v>
      </c>
      <c r="Q16" s="121"/>
      <c r="R16" s="10" t="str">
        <f>"Depowder util (QTY: "&amp;G44&amp;")"</f>
        <v>Depowder util (QTY: 3)</v>
      </c>
      <c r="T16" s="145">
        <f>G45/('P-50 Auto'!avail_hours_yr*G44*'P-50 Auto'!uptime)</f>
        <v>0.8924953925</v>
      </c>
      <c r="AB16" s="81"/>
    </row>
    <row r="17" ht="14.25" customHeight="1">
      <c r="B17" s="77" t="s">
        <v>266</v>
      </c>
      <c r="C17" s="167" t="s">
        <v>68</v>
      </c>
      <c r="D17" s="95"/>
      <c r="F17" s="123"/>
      <c r="G17" s="270"/>
      <c r="J17" s="77" t="s">
        <v>277</v>
      </c>
      <c r="K17" s="159">
        <f>IF('P-50 Auto'!furnace_sel="Continuous",0,'P-50 Auto'!labor_rate*K11*(K8-6)/'P-50 Auto'!part_req)</f>
        <v>0</v>
      </c>
      <c r="N17" s="77" t="str">
        <f>IF(C15="Yes","Sintered","Green")&amp;" part cost"</f>
        <v>Sintered part cost</v>
      </c>
      <c r="P17" s="126">
        <f>T45</f>
        <v>1.281797797</v>
      </c>
      <c r="Q17" s="121"/>
      <c r="R17" s="10" t="str">
        <f>"Furnace util (QTY: "&amp;IF('P-50 Auto'!furnace_sel="Shop",K11,K31)&amp;")"</f>
        <v>Furnace util (QTY: 3)</v>
      </c>
      <c r="T17" s="88">
        <f>K32/('P-50 Auto'!total_hours_yr*K31*'P-50 Auto'!uptime)</f>
        <v>0.7077960493</v>
      </c>
      <c r="AB17" s="81"/>
    </row>
    <row r="18" ht="14.25" customHeight="1">
      <c r="B18" s="77" t="s">
        <v>418</v>
      </c>
      <c r="C18" s="110">
        <f>MAX(ROUNDDOWN(('P-50 Auto'!build_x-'P-50 Auto'!printer_xy_border*2+'P-50 Auto'!printer_xy_spacing)/('P-50 Auto'!part_scale_x+'P-50 Auto'!printer_xy_spacing),0)*ROUNDDOWN(('P-50 Auto'!build_y-'P-50 Auto'!printer_xy_border*2+'P-50 Auto'!printer_xy_spacing)/('P-50 Auto'!part_scale_y+'P-50 Auto'!printer_xy_spacing),0),ROUNDDOWN(('P-50 Auto'!build_x-'P-50 Auto'!printer_xy_border*2+'P-50 Auto'!printer_xy_spacing)/('P-50 Auto'!part_scale_y+'P-50 Auto'!printer_xy_spacing),0)*ROUNDDOWN(('P-50 Auto'!build_y-'P-50 Auto'!printer_xy_border*2+'P-50 Auto'!printer_xy_spacing)/('P-50 Auto'!part_scale_x+'P-50 Auto'!printer_xy_spacing),0))*ROUNDDOWN(('P-50 Auto'!build_z-'P-50 Auto'!printer_z_base+'P-50 Auto'!printer_z_spacing)/('P-50 Auto'!part_scale_z+'P-50 Auto'!printer_z_spacing),0)</f>
        <v>819</v>
      </c>
      <c r="E18" s="10" t="s">
        <v>45</v>
      </c>
      <c r="F18" s="86" t="s">
        <v>269</v>
      </c>
      <c r="G18" s="87"/>
      <c r="J18" s="136" t="s">
        <v>281</v>
      </c>
      <c r="K18" s="168">
        <f>IF('P-50 Auto'!furnace_sel="Continuous",0,('P-50 Auto'!furnace_gas_cons*'P-50 Auto'!nitrogen_rate+'P-50 Auto'!furnace_power_cons*'P-50 Auto'!power_rate)*(K13-K6/K7*2*K11))/'P-50 Auto'!part_req</f>
        <v>0</v>
      </c>
      <c r="N18" s="91" t="s">
        <v>267</v>
      </c>
      <c r="O18" s="153"/>
      <c r="P18" s="120">
        <f>P16/'P-50 Auto'!part_only_vol*10^3</f>
        <v>0.1882824356</v>
      </c>
      <c r="Q18" s="121"/>
      <c r="T18" s="81"/>
      <c r="AB18" s="81"/>
    </row>
    <row r="19" ht="14.25" customHeight="1">
      <c r="B19" s="77" t="s">
        <v>378</v>
      </c>
      <c r="C19" s="119">
        <f>'P-50 Auto'!printer_z_base+('P-50 Auto'!part_scale_z)*ROUNDDOWN(('P-50 Auto'!build_z-'P-50 Auto'!printer_z_base+'P-50 Auto'!printer_z_spacing)/('P-50 Auto'!part_scale_z+'P-50 Auto'!printer_z_spacing),0)+'P-50 Auto'!printer_z_spacing*(ROUNDDOWN(('P-50 Auto'!build_z-'P-50 Auto'!printer_z_base+'P-50 Auto'!printer_z_spacing)/('P-50 Auto'!part_scale_z+'P-50 Auto'!printer_z_spacing),0)-1)</f>
        <v>244.9</v>
      </c>
      <c r="D19" s="10" t="s">
        <v>55</v>
      </c>
      <c r="F19" s="77" t="s">
        <v>273</v>
      </c>
      <c r="G19" s="158">
        <f>G10*'P-50 Auto'!printer_msrp+ROUNDUP(('P-50 Auto'!print_time_trn+G30+G42)/('P-50 Auto'!avail_hours_yr/'P-50 Auto'!total_builds_yr),0)*'P-50 Auto'!buildbox_msrp</f>
        <v>3730000</v>
      </c>
      <c r="K19" s="10"/>
      <c r="N19" s="289" t="str">
        <f>IF(C15="Yes","Sintered","Green")&amp;" part cost / cc"</f>
        <v>Sintered part cost / cc</v>
      </c>
      <c r="O19" s="290"/>
      <c r="P19" s="269">
        <f>P17/'P-50 Auto'!part_only_vol*10^3</f>
        <v>0.2344777659</v>
      </c>
      <c r="Q19" s="187"/>
      <c r="R19" s="187" t="s">
        <v>271</v>
      </c>
      <c r="S19" s="187"/>
      <c r="T19" s="291">
        <f>print_trnaround*'P-50 Auto'!total_builds_yr+0.5*'P-50 Auto'!total_builds_yr/2+G45+(K27-'P-50 Auto'!furnace_time_cycle)*K30+IF('P-50 Auto'!furnace_sel&lt;&gt;"Continuous",(K8-6)*K11,0)</f>
        <v>44853.64634</v>
      </c>
      <c r="AB19" s="81"/>
    </row>
    <row r="20" ht="14.25" customHeight="1">
      <c r="B20" s="77" t="s">
        <v>279</v>
      </c>
      <c r="C20" s="167" t="s">
        <v>68</v>
      </c>
      <c r="F20" s="77" t="str">
        <f>"Annual depreciation (@ "&amp;'P-50 Auto'!dm_depr&amp;" yrs)"</f>
        <v>Annual depreciation (@ 10 yrs)</v>
      </c>
      <c r="G20" s="158">
        <f>G19/'P-50 Auto'!dm_depr+(5*1.9+1.4*1)*G10*'P-50 Auto'!floor_rate</f>
        <v>378232</v>
      </c>
      <c r="I20" s="10" t="s">
        <v>45</v>
      </c>
      <c r="J20" s="86" t="s">
        <v>419</v>
      </c>
      <c r="K20" s="87"/>
      <c r="N20" s="160" t="s">
        <v>275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115"/>
    </row>
    <row r="21" ht="14.25" customHeight="1">
      <c r="B21" s="77" t="s">
        <v>282</v>
      </c>
      <c r="C21" s="169">
        <v>0.0</v>
      </c>
      <c r="F21" s="77" t="s">
        <v>280</v>
      </c>
      <c r="G21" s="159">
        <f>(G7*IF(OR('P-50 Auto'!powder_price="",'P-50 Auto'!powder_price=0),'P-50 Auto'!powder_default_price,'P-50 Auto'!powder_price)/'P-50 Auto'!good_parts_job)</f>
        <v>0.5165291423</v>
      </c>
      <c r="J21" s="91" t="s">
        <v>481</v>
      </c>
      <c r="K21" s="94" t="str">
        <f>C16</f>
        <v>Continuous</v>
      </c>
      <c r="L21" s="95" t="str">
        <f>IF(OR('P-50 Auto'!furnace_sel="Shop",'P-50 Auto'!furnace_sel="Continuous"),,"ft3")</f>
        <v/>
      </c>
      <c r="N21" s="164" t="s">
        <v>278</v>
      </c>
      <c r="O21" s="165"/>
      <c r="Q21" s="165"/>
      <c r="R21" s="165"/>
      <c r="S21" s="165"/>
      <c r="T21" s="165"/>
      <c r="U21" s="165"/>
      <c r="AB21" s="81"/>
    </row>
    <row r="22" ht="14.25" customHeight="1">
      <c r="B22" s="77" t="s">
        <v>285</v>
      </c>
      <c r="C22" s="170">
        <v>0.0</v>
      </c>
      <c r="D22" s="10" t="s">
        <v>55</v>
      </c>
      <c r="F22" s="77" t="s">
        <v>283</v>
      </c>
      <c r="G22" s="159">
        <f>G9*'P-50 Auto'!binder_weighted_price/'P-50 Auto'!good_parts_job</f>
        <v>0.3571587999</v>
      </c>
      <c r="J22" s="77" t="s">
        <v>180</v>
      </c>
      <c r="K22" s="172" t="str">
        <f>IF('P-50 Auto'!furnace_sel="Continuous","N.A.",C104)</f>
        <v>N.A.</v>
      </c>
      <c r="L22" s="10" t="s">
        <v>55</v>
      </c>
      <c r="N22" s="164" t="str">
        <f>"2. DM Equipment MSRP includes "&amp;ROUNDUP(('P-50 Auto'!print_time_trn+G30+G42)/('P-50 Auto'!avail_hours_yr/'P-50 Auto'!total_builds_yr),0)&amp;" build boxes &amp; transfer cart."</f>
        <v>2. DM Equipment MSRP includes 38 build boxes &amp; transfer cart.</v>
      </c>
      <c r="Q22" s="165"/>
      <c r="R22" s="165"/>
      <c r="S22" s="165"/>
      <c r="T22" s="165"/>
      <c r="U22" s="165"/>
      <c r="AB22" s="81"/>
      <c r="AC22" s="165"/>
    </row>
    <row r="23" ht="14.25" customHeight="1">
      <c r="B23" s="77" t="s">
        <v>292</v>
      </c>
      <c r="C23" s="112">
        <v>0.065</v>
      </c>
      <c r="D23" s="10" t="s">
        <v>55</v>
      </c>
      <c r="F23" s="77" t="s">
        <v>286</v>
      </c>
      <c r="G23" s="159">
        <f>G11/('P-50 Auto'!avail_hours_yr*G10)*G20/'P-50 Auto'!part_req</f>
        <v>0.06908745217</v>
      </c>
      <c r="J23" s="77" t="s">
        <v>181</v>
      </c>
      <c r="K23" s="172" t="str">
        <f>IF('P-50 Auto'!furnace_sel="Continuous","N.A.",C105)</f>
        <v>N.A.</v>
      </c>
      <c r="L23" s="10" t="s">
        <v>55</v>
      </c>
      <c r="N23" s="164" t="str">
        <f>"3. Consumables includes printheads"&amp;IF('P-50 Auto'!furnace_sel="Continuous"," and continuous furnace items.",".")</f>
        <v>3. Consumables includes printheads and continuous furnace items.</v>
      </c>
      <c r="O23" s="165"/>
      <c r="Q23" s="165"/>
      <c r="R23" s="165"/>
      <c r="S23" s="165"/>
      <c r="T23" s="165"/>
      <c r="U23" s="165"/>
      <c r="AB23" s="81"/>
      <c r="AC23" s="165"/>
    </row>
    <row r="24" ht="14.25" customHeight="1">
      <c r="B24" s="77" t="s">
        <v>420</v>
      </c>
      <c r="C24" s="110">
        <f>ROUNDUP('P-50 Auto'!build_height/C23,0)</f>
        <v>3768</v>
      </c>
      <c r="F24" s="77" t="s">
        <v>290</v>
      </c>
      <c r="G24" s="159">
        <f>(G9/'P-50 Auto'!printhead_life*'P-50 Auto'!printhead_msrp)/'P-50 Auto'!good_parts_job</f>
        <v>0.06453121037</v>
      </c>
      <c r="H24" s="124"/>
      <c r="J24" s="77" t="s">
        <v>182</v>
      </c>
      <c r="K24" s="172" t="str">
        <f>IF('P-50 Auto'!furnace_sel="Continuous","N.A.",C106)</f>
        <v>N.A.</v>
      </c>
      <c r="L24" s="10" t="s">
        <v>55</v>
      </c>
      <c r="N24" s="164" t="s">
        <v>288</v>
      </c>
      <c r="O24" s="171"/>
      <c r="Q24" s="165"/>
      <c r="R24" s="165"/>
      <c r="S24" s="165"/>
      <c r="T24" s="165"/>
      <c r="U24" s="165"/>
      <c r="AB24" s="81"/>
      <c r="AC24" s="165"/>
    </row>
    <row r="25" ht="14.25" customHeight="1">
      <c r="B25" s="77" t="str">
        <f>"Print time + "&amp;print_trnaround&amp;"hrs turnaround"</f>
        <v>Print time + 0.5hrs turnaround</v>
      </c>
      <c r="C25" s="273">
        <f>C24*'P-50 Auto'!layer_speed/(60*60)+print_trnaround</f>
        <v>3.619066667</v>
      </c>
      <c r="D25" s="10" t="s">
        <v>81</v>
      </c>
      <c r="F25" s="77" t="s">
        <v>277</v>
      </c>
      <c r="G25" s="159">
        <f>print_trnaround*'P-50 Auto'!labor_rate/'P-50 Auto'!good_parts_job</f>
        <v>0.01221001221</v>
      </c>
      <c r="H25" s="124"/>
      <c r="J25" s="77" t="s">
        <v>239</v>
      </c>
      <c r="K25" s="113">
        <f>IF('P-50 Auto'!furnace_sel="Continuous",'P-50 Auto'!part_req,ROUNDDOWN(('P-50 Auto'!mim_furnace_x+'P-50 Auto'!furnace_xy_spacing)/('P-50 Auto'!furnace_part_scale_x+'P-50 Auto'!furnace_xy_spacing),0)*ROUNDDOWN(('P-50 Auto'!mim_furnace_y+'P-50 Auto'!furnace_xy_spacing)/('P-50 Auto'!furnace_part_scale_y+'P-50 Auto'!furnace_xy_spacing),0)*MIN('P-50 Auto'!furnace_shelves,ROUNDDOWN('P-50 Auto'!mim_furnace_z/('P-50 Auto'!furnace_part_scale_z+'P-50 Auto'!furnace_rack_thickness+'P-50 Auto'!furnace_z_spacing),0)))</f>
        <v>5474685</v>
      </c>
      <c r="N25" s="164" t="str">
        <f>"5. "&amp;C40&amp;" powder priced at "&amp;TEXT(IF('P-50 Auto'!powder_price="",C42,'P-50 Auto'!powder_price),"$0.00")&amp;"/kg and binder priced at "&amp;TEXT('P-50 Auto'!binder_price,"$0.00")&amp;"/L. Pricing may be volume dependent."</f>
        <v>5. 17-4PH SS powder priced at $12.30/kg and binder priced at $100.00/L. Pricing may be volume dependent.</v>
      </c>
      <c r="O25" s="171"/>
      <c r="Q25" s="171"/>
      <c r="R25" s="171"/>
      <c r="S25" s="171"/>
      <c r="T25" s="171"/>
      <c r="U25" s="171"/>
      <c r="AB25" s="81"/>
      <c r="AC25" s="165"/>
    </row>
    <row r="26" ht="14.25" customHeight="1">
      <c r="B26" s="77" t="s">
        <v>299</v>
      </c>
      <c r="C26" s="190">
        <v>1.0</v>
      </c>
      <c r="F26" s="136" t="s">
        <v>295</v>
      </c>
      <c r="G26" s="168">
        <f>('P-50 Auto'!power_rate*IF('P-50 Auto'!p_model="P-1",9,13)*('P-50 Auto'!print_time_trn-print_trnaround))/'P-50 Auto'!good_parts_job+'P-50 Auto'!nitrogen_rate*1000*('P-50 Auto'!print_time_trn-print_trnaround)/'P-50 Auto'!good_parts_job</f>
        <v>0.009749463573</v>
      </c>
      <c r="H26" s="124"/>
      <c r="J26" s="77" t="s">
        <v>243</v>
      </c>
      <c r="K26" s="119">
        <f>C50</f>
        <v>600</v>
      </c>
      <c r="N26" s="164" t="str">
        <f>"6. Key process assumptions: (i) "&amp;C23*1000&amp;" micron printed layer height; (ii) $"&amp;'P-50 Auto'!labor_rate&amp;"/hr labor rate; (iii) Printer, depowdering, and powder handling equipment @ "&amp;C30&amp;" x "&amp;C31&amp;" x "&amp;'P-50 Auto'!weeks_yr&amp;" x "&amp;'P-50 Auto'!uptime*100&amp;"% uptime"</f>
        <v>6. Key process assumptions: (i) 65 micron printed layer height; (ii) $20/hr labor rate; (iii) Printer, depowdering, and powder handling equipment @ 24 x 7 x 48 x 100% uptime</v>
      </c>
      <c r="O26" s="171"/>
      <c r="Q26" s="171"/>
      <c r="R26" s="171"/>
      <c r="S26" s="171"/>
      <c r="T26" s="171"/>
      <c r="U26" s="171"/>
      <c r="AB26" s="81"/>
      <c r="AC26" s="171"/>
    </row>
    <row r="27" ht="14.25" customHeight="1">
      <c r="B27" s="136" t="s">
        <v>301</v>
      </c>
      <c r="C27" s="192">
        <f>IF('P-50 Auto'!override_nesting="Yes",IF(C21=0,C18,C21),C18)*C26</f>
        <v>819</v>
      </c>
      <c r="G27" s="10"/>
      <c r="H27" s="124"/>
      <c r="J27" s="77" t="s">
        <v>246</v>
      </c>
      <c r="K27" s="125">
        <f>IF('P-50 Auto'!furnace_sel="Continuous",'P-50 Auto'!furnace_time_cycle+K25/K26*2,'P-50 Auto'!furnace_time_cycle+K25/K26*1)</f>
        <v>18368.95</v>
      </c>
      <c r="L27" s="10" t="s">
        <v>81</v>
      </c>
      <c r="N27" s="176"/>
      <c r="O27" s="165" t="str">
        <f>"                        (iv) "&amp;G41&amp;" parts/hr depowdering rate; (v) "&amp;'P-50 Auto'!total_yield*100&amp;"% overall process yield; (vi) "&amp;'P-50 Auto'!dm_depr&amp;"yr DM equipment depreciation;"</f>
        <v>                        (iv) 300 parts/hr depowdering rate; (v) 100% overall process yield; (vi) 10yr DM equipment depreciation;</v>
      </c>
      <c r="Q27" s="171"/>
      <c r="R27" s="171"/>
      <c r="S27" s="171"/>
      <c r="T27" s="171"/>
      <c r="U27" s="171"/>
      <c r="AB27" s="81"/>
      <c r="AC27" s="171"/>
    </row>
    <row r="28" ht="14.25" customHeight="1">
      <c r="E28" s="10" t="s">
        <v>45</v>
      </c>
      <c r="F28" s="86" t="s">
        <v>482</v>
      </c>
      <c r="G28" s="87"/>
      <c r="J28" s="77" t="s">
        <v>249</v>
      </c>
      <c r="K28" s="125">
        <f>'P-50 Auto'!good_parts_job/K25*K27</f>
        <v>2.747951718</v>
      </c>
      <c r="L28" s="10" t="s">
        <v>81</v>
      </c>
      <c r="N28" s="182"/>
      <c r="O28" s="183" t="str">
        <f>"                        (vii) Crosslink station "&amp;IF(C15="Yes","&amp; sintering ",)&amp;"equipment @ 24 x 7 x "&amp;'P-50 Auto'!weeks_yr&amp;" x "&amp;'P-50 Auto'!uptime*100&amp;"% uptime; (viii) "&amp;IF(C15="Yes",'P-50 Auto'!furnace_depr&amp;"yr MIM furnace depreciation; (iv) ",)&amp;'P-50 Auto'!total_yield*100&amp;"% overall process yield"</f>
        <v>                        (vii) Crosslink station &amp; sintering equipment @ 24 x 7 x 48 x 100% uptime; (viii) 10yr MIM furnace depreciation; (iv) 100% overall process yield</v>
      </c>
      <c r="P28" s="184"/>
      <c r="Q28" s="185"/>
      <c r="R28" s="185"/>
      <c r="S28" s="185"/>
      <c r="T28" s="185"/>
      <c r="U28" s="185"/>
      <c r="V28" s="186"/>
      <c r="W28" s="187"/>
      <c r="X28" s="184"/>
      <c r="Y28" s="184"/>
      <c r="Z28" s="184"/>
      <c r="AA28" s="184"/>
      <c r="AB28" s="188"/>
      <c r="AC28" s="171"/>
    </row>
    <row r="29" ht="14.25" customHeight="1">
      <c r="A29" s="10" t="s">
        <v>45</v>
      </c>
      <c r="B29" s="86" t="s">
        <v>310</v>
      </c>
      <c r="C29" s="87"/>
      <c r="F29" s="91" t="str">
        <f>IF('P-50 Auto'!p_model="P-50","Printer builds / day","Printer builds / oven run")</f>
        <v>Printer builds / day</v>
      </c>
      <c r="G29" s="306">
        <f>'P-50 Auto'!total_builds_yr/(C31*'P-50 Auto'!weeks_yr)</f>
        <v>19.89463414</v>
      </c>
      <c r="J29" s="77" t="s">
        <v>252</v>
      </c>
      <c r="K29" s="119">
        <f>IF('P-50 Auto'!furnace_sel="Continuous",(240000/2.2)/('P-50 Auto'!good_parts_job*'P-50 Auto'!part_vol*'P-50 Auto'!density_selected),ROUNDDOWN('P-50 Auto'!total_hours_yr/K28,0))</f>
        <v>3148.080617</v>
      </c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171"/>
    </row>
    <row r="30" ht="14.25" customHeight="1">
      <c r="B30" s="91" t="s">
        <v>315</v>
      </c>
      <c r="C30" s="201">
        <v>24.0</v>
      </c>
      <c r="F30" s="77" t="s">
        <v>493</v>
      </c>
      <c r="G30" s="193">
        <f>C88*'P-50 Auto'!build_height/'P-50 Auto'!build_z+0.5</f>
        <v>38.17692308</v>
      </c>
      <c r="H30" s="10" t="s">
        <v>81</v>
      </c>
      <c r="J30" s="77" t="s">
        <v>255</v>
      </c>
      <c r="K30" s="119">
        <f>ROUNDUP('P-50 Auto'!part_req/K25,0)</f>
        <v>1</v>
      </c>
      <c r="N30" s="171"/>
      <c r="Q30" s="171"/>
      <c r="R30" s="171"/>
      <c r="S30" s="171"/>
      <c r="T30" s="171"/>
      <c r="U30" s="171"/>
      <c r="V30" s="189"/>
      <c r="W30" s="121"/>
      <c r="AC30" s="171"/>
    </row>
    <row r="31" ht="14.25" customHeight="1">
      <c r="B31" s="77" t="s">
        <v>321</v>
      </c>
      <c r="C31" s="201">
        <v>7.0</v>
      </c>
      <c r="F31" s="77" t="str">
        <f>IF('P-50 Auto'!p_model="P-50","Add'l modules required (rounded)", "Ovens required")</f>
        <v>Add'l modules required (rounded)</v>
      </c>
      <c r="G31" s="119">
        <f>IF('P-50 Auto'!p_model="P-50",IF(G29&gt;3,3,IF(G29&gt;2,2,IF(G29&gt;1,1,0))),ROUNDUP('P-50 Auto'!total_builds_yr/G32,0))</f>
        <v>3</v>
      </c>
      <c r="J31" s="77" t="s">
        <v>421</v>
      </c>
      <c r="K31" s="172">
        <f>ROUNDUP('P-50 Auto'!total_builds_yr/K29,0)</f>
        <v>3</v>
      </c>
      <c r="N31" s="194" t="str">
        <f>"Production System "&amp;'P-50 Auto'!p_model&amp;" "&amp;LOWER(N11)&amp;" allocation"</f>
        <v>Production System P-50 sintered part cost allocation</v>
      </c>
      <c r="U31" s="121"/>
      <c r="V31" s="194" t="s">
        <v>303</v>
      </c>
      <c r="AC31" s="171"/>
    </row>
    <row r="32" ht="14.25" customHeight="1">
      <c r="B32" s="77" t="s">
        <v>325</v>
      </c>
      <c r="C32" s="201">
        <v>48.0</v>
      </c>
      <c r="F32" s="77" t="s">
        <v>252</v>
      </c>
      <c r="G32" s="119">
        <f>ROUNDDOWN((G31+1)*'P-50 Auto'!total_hours_yr/G30*3,0)</f>
        <v>2534</v>
      </c>
      <c r="J32" s="77" t="s">
        <v>422</v>
      </c>
      <c r="K32" s="119">
        <f>IF('P-50 Auto'!furnace_sel="Continuous",'P-50 Auto'!total_hours_yr*'P-50 Auto'!total_builds_yr/K29,K27*K30)</f>
        <v>17123.00202</v>
      </c>
      <c r="L32" s="10" t="s">
        <v>81</v>
      </c>
      <c r="N32" s="10" t="s">
        <v>305</v>
      </c>
      <c r="O32" s="10" t="s">
        <v>306</v>
      </c>
      <c r="P32" s="124">
        <f>G21+G22</f>
        <v>0.8736879421</v>
      </c>
      <c r="R32" s="10" t="s">
        <v>307</v>
      </c>
      <c r="S32" s="10" t="s">
        <v>308</v>
      </c>
      <c r="T32" s="124">
        <f t="shared" ref="T32:T36" si="3">SUMIF($O$32:$O$49,S32,$P$32:$P$49)</f>
        <v>0.8736879421</v>
      </c>
      <c r="U32" s="124"/>
      <c r="V32" s="195" t="s">
        <v>309</v>
      </c>
      <c r="W32" s="196"/>
      <c r="X32" s="196"/>
      <c r="Y32" s="197">
        <f>'P-50 Auto'!parts_job</f>
        <v>819</v>
      </c>
      <c r="Z32" s="121"/>
      <c r="AA32" s="121"/>
      <c r="AB32" s="121"/>
      <c r="AC32" s="121"/>
    </row>
    <row r="33" ht="14.25" customHeight="1">
      <c r="B33" s="77" t="s">
        <v>424</v>
      </c>
      <c r="C33" s="110">
        <f>C30*C31*'P-50 Auto'!weeks_yr</f>
        <v>8064</v>
      </c>
      <c r="F33" s="77" t="s">
        <v>483</v>
      </c>
      <c r="G33" s="119">
        <f>'P-50 Auto'!total_builds_yr*G30/((G31+1)*3)</f>
        <v>21266.44568</v>
      </c>
      <c r="H33" s="10" t="s">
        <v>81</v>
      </c>
      <c r="J33" s="77" t="s">
        <v>423</v>
      </c>
      <c r="K33" s="158">
        <f>IFERROR(OFFSET(C121,'P-50 Auto'!furnace_index-1,)*K31,"N.A.")</f>
        <v>3000000</v>
      </c>
      <c r="N33" s="10" t="s">
        <v>305</v>
      </c>
      <c r="O33" s="10" t="s">
        <v>313</v>
      </c>
      <c r="P33" s="124">
        <f>G24</f>
        <v>0.06453121037</v>
      </c>
      <c r="S33" s="10" t="s">
        <v>313</v>
      </c>
      <c r="T33" s="124">
        <f t="shared" si="3"/>
        <v>0.07126264423</v>
      </c>
      <c r="U33" s="124"/>
      <c r="V33" s="198" t="s">
        <v>314</v>
      </c>
      <c r="W33" s="199"/>
      <c r="X33" s="199"/>
      <c r="Y33" s="200">
        <f>G16</f>
        <v>0.1565666341</v>
      </c>
    </row>
    <row r="34" ht="14.25" customHeight="1">
      <c r="B34" s="77" t="s">
        <v>425</v>
      </c>
      <c r="C34" s="190">
        <v>1.0</v>
      </c>
      <c r="F34" s="77" t="s">
        <v>484</v>
      </c>
      <c r="G34" s="158">
        <f>'P-50 Auto'!xlink_msrp+'P-50 Auto'!xlink_module_msrp*G31</f>
        <v>50000</v>
      </c>
      <c r="J34" s="77" t="str">
        <f>"Annual depreciation (@ "&amp;'P-50 Auto'!furnace_depr&amp;" yrs)"</f>
        <v>Annual depreciation (@ 10 yrs)</v>
      </c>
      <c r="K34" s="158">
        <f>IFERROR(K33/'P-50 Auto'!furnace_depr+OFFSET(C131,'P-50 Auto'!furnace_index-1,)*K31*'P-50 Auto'!floor_rate,"N.A.")</f>
        <v>309600</v>
      </c>
      <c r="N34" s="10" t="s">
        <v>305</v>
      </c>
      <c r="O34" s="10" t="s">
        <v>318</v>
      </c>
      <c r="P34" s="124">
        <f>G23</f>
        <v>0.06908745217</v>
      </c>
      <c r="S34" s="10" t="s">
        <v>318</v>
      </c>
      <c r="T34" s="124">
        <f t="shared" si="3"/>
        <v>0.1367507322</v>
      </c>
      <c r="U34" s="124"/>
      <c r="V34" s="198" t="s">
        <v>319</v>
      </c>
      <c r="W34" s="199"/>
      <c r="X34" s="199"/>
      <c r="Y34" s="202" t="str">
        <f>IF('P-50 Auto'!furnace_sel="Continuous","N.A.",K25)</f>
        <v>N.A.</v>
      </c>
    </row>
    <row r="35" ht="14.25" customHeight="1">
      <c r="B35" s="77" t="s">
        <v>426</v>
      </c>
      <c r="C35" s="110">
        <f>'P-50 Auto'!avail_hours_yr*'P-50 Auto'!uptime</f>
        <v>8064</v>
      </c>
      <c r="F35" s="77" t="str">
        <f>"Annual depreciation (@ "&amp;'P-50 Auto'!dm_depr&amp;" yrs)"</f>
        <v>Annual depreciation (@ 10 yrs)</v>
      </c>
      <c r="G35" s="158">
        <f>G34/'P-50 Auto'!dm_depr</f>
        <v>5000</v>
      </c>
      <c r="J35" s="77" t="s">
        <v>270</v>
      </c>
      <c r="K35" s="159">
        <f>IFERROR(K32/('P-50 Auto'!total_hours_yr*K31)*K34/'P-50 Auto'!part_req,"N.A.")</f>
        <v>0.04002671512</v>
      </c>
      <c r="N35" s="10" t="s">
        <v>305</v>
      </c>
      <c r="O35" s="10" t="s">
        <v>320</v>
      </c>
      <c r="P35" s="124">
        <f t="shared" ref="P35:P36" si="4">G25</f>
        <v>0.01221001221</v>
      </c>
      <c r="S35" s="10" t="s">
        <v>320</v>
      </c>
      <c r="T35" s="124">
        <f t="shared" si="3"/>
        <v>0.1366300366</v>
      </c>
      <c r="U35" s="124"/>
      <c r="V35" s="198" t="s">
        <v>323</v>
      </c>
      <c r="W35" s="199"/>
      <c r="X35" s="199"/>
      <c r="Y35" s="203" t="str">
        <f>IFERROR(Y34/C18,"N.A.")</f>
        <v>N.A.</v>
      </c>
    </row>
    <row r="36" ht="14.25" customHeight="1">
      <c r="B36" s="77" t="s">
        <v>336</v>
      </c>
      <c r="C36" s="110">
        <f>ROUND('P-50 Auto'!good_parts_job/'P-50 Auto'!print_time_trn*'P-50 Auto'!uptime_hours_yr,0)</f>
        <v>1824895</v>
      </c>
      <c r="F36" s="77" t="s">
        <v>286</v>
      </c>
      <c r="G36" s="159">
        <f>G33/('P-50 Auto'!total_hours_yr*IF('P-50 Auto'!p_model="P-50",1,G31))*G35/'P-50 Auto'!part_req</f>
        <v>0.002408547748</v>
      </c>
      <c r="J36" s="77" t="s">
        <v>274</v>
      </c>
      <c r="K36" s="159">
        <f>IF('P-50 Auto'!furnace_sel="Continuous",'P-50 Auto'!furnace_power_cons*'P-50 Auto'!total_hours_yr/'P-50 Auto'!part_req,0)</f>
        <v>0.006731433863</v>
      </c>
      <c r="N36" s="10" t="s">
        <v>305</v>
      </c>
      <c r="O36" s="10" t="s">
        <v>324</v>
      </c>
      <c r="P36" s="124">
        <f t="shared" si="4"/>
        <v>0.009749463573</v>
      </c>
      <c r="S36" s="10" t="s">
        <v>324</v>
      </c>
      <c r="T36" s="124">
        <f t="shared" si="3"/>
        <v>0.06346644141</v>
      </c>
      <c r="U36" s="124"/>
      <c r="V36" s="198" t="s">
        <v>326</v>
      </c>
      <c r="W36" s="199"/>
      <c r="X36" s="199"/>
      <c r="Y36" s="202">
        <f>Y37/'P-50 Auto'!weeks_yr</f>
        <v>114055.9375</v>
      </c>
    </row>
    <row r="37" ht="14.25" customHeight="1">
      <c r="B37" s="136" t="s">
        <v>342</v>
      </c>
      <c r="C37" s="169">
        <f>'P-50 Auto'!part_capacity*3</f>
        <v>5474685</v>
      </c>
      <c r="F37" s="77" t="s">
        <v>277</v>
      </c>
      <c r="G37" s="159">
        <f>(0.5/IF('P-50 Auto'!p_model="P-50",1,G29)*'P-50 Auto'!labor_rate*'P-50 Auto'!total_builds_yr)/'P-50 Auto'!part_req</f>
        <v>0.01221001221</v>
      </c>
      <c r="J37" s="77" t="s">
        <v>277</v>
      </c>
      <c r="K37" s="159">
        <f>IF('P-50 Auto'!furnace_sel="Continuous",'P-50 Auto'!labor_rate*'P-50 Auto'!part_req/K26,'P-50 Auto'!labor_rate*K30*(K27-C108))/'P-50 Auto'!part_req</f>
        <v>0.03333333333</v>
      </c>
      <c r="N37" s="79" t="s">
        <v>485</v>
      </c>
      <c r="O37" s="79" t="s">
        <v>318</v>
      </c>
      <c r="P37" s="205">
        <f t="shared" ref="P37:P39" si="5">G36</f>
        <v>0.002408547748</v>
      </c>
      <c r="S37" s="79" t="s">
        <v>307</v>
      </c>
      <c r="T37" s="205">
        <f>SUM(T32:T36)</f>
        <v>1.281797797</v>
      </c>
      <c r="V37" s="198" t="s">
        <v>330</v>
      </c>
      <c r="W37" s="199"/>
      <c r="X37" s="199"/>
      <c r="Y37" s="202">
        <f>'P-50 Auto'!part_req</f>
        <v>5474685</v>
      </c>
    </row>
    <row r="38" ht="14.25" customHeight="1">
      <c r="F38" s="136" t="s">
        <v>295</v>
      </c>
      <c r="G38" s="168">
        <f>IF('P-50 Auto'!p_model="P-50",'P-50 Auto'!power_rate*5*G33*(G31+1)+'P-50 Auto'!nitrogen_rate*18*60*G33*(G31+1),'P-50 Auto'!power_rate*5*G33+'P-50 Auto'!nitrogen_rate*120*G33)/'P-50 Auto'!part_req</f>
        <v>0.02610387903</v>
      </c>
      <c r="J38" s="136" t="s">
        <v>281</v>
      </c>
      <c r="K38" s="168">
        <f>IF('P-50 Auto'!furnace_sel="Continuous",'P-50 Auto'!furnace_gas_cons*'P-50 Auto'!total_hours_yr,('P-50 Auto'!argon_rate*'P-50 Auto'!furnace_gas_cons+'P-50 Auto'!power_rate*'P-50 Auto'!furnace_power_cons)*(K27-K25/K26*2)*K30)/'P-50 Auto'!part_req</f>
        <v>0.01634987218</v>
      </c>
      <c r="N38" s="10" t="s">
        <v>485</v>
      </c>
      <c r="O38" s="10" t="s">
        <v>320</v>
      </c>
      <c r="P38" s="124">
        <f t="shared" si="5"/>
        <v>0.01221001221</v>
      </c>
      <c r="T38" s="209"/>
      <c r="V38" s="198" t="s">
        <v>332</v>
      </c>
      <c r="W38" s="199"/>
      <c r="X38" s="199"/>
      <c r="Y38" s="208">
        <f>P11</f>
        <v>1.145047064</v>
      </c>
    </row>
    <row r="39" ht="14.25" customHeight="1">
      <c r="A39" s="10" t="s">
        <v>45</v>
      </c>
      <c r="B39" s="86" t="s">
        <v>344</v>
      </c>
      <c r="C39" s="87"/>
      <c r="G39" s="10"/>
      <c r="K39" s="10"/>
      <c r="N39" s="184" t="s">
        <v>485</v>
      </c>
      <c r="O39" s="184" t="s">
        <v>324</v>
      </c>
      <c r="P39" s="206">
        <f t="shared" si="5"/>
        <v>0.02610387903</v>
      </c>
      <c r="R39" s="10" t="s">
        <v>307</v>
      </c>
      <c r="S39" s="10" t="s">
        <v>308</v>
      </c>
      <c r="T39" s="124">
        <f>P32</f>
        <v>0.8736879421</v>
      </c>
      <c r="V39" s="198" t="s">
        <v>335</v>
      </c>
      <c r="W39" s="199"/>
      <c r="X39" s="199"/>
      <c r="Y39" s="208">
        <f>P13</f>
        <v>0.2094621151</v>
      </c>
    </row>
    <row r="40" ht="14.25" customHeight="1">
      <c r="B40" s="217" t="s">
        <v>346</v>
      </c>
      <c r="C40" s="293" t="s">
        <v>428</v>
      </c>
      <c r="E40" s="10" t="s">
        <v>45</v>
      </c>
      <c r="F40" s="86" t="s">
        <v>340</v>
      </c>
      <c r="G40" s="87"/>
      <c r="I40" s="10" t="s">
        <v>45</v>
      </c>
      <c r="J40" s="86" t="s">
        <v>494</v>
      </c>
      <c r="K40" s="87"/>
      <c r="N40" s="10" t="s">
        <v>333</v>
      </c>
      <c r="O40" s="10" t="s">
        <v>318</v>
      </c>
      <c r="P40" s="124">
        <f t="shared" ref="P40:P42" si="6">G48</f>
        <v>0.007589532822</v>
      </c>
      <c r="S40" s="10" t="s">
        <v>305</v>
      </c>
      <c r="T40" s="124">
        <f t="shared" ref="T40:T44" si="7">SUMIF($N$33:$N$49,S40,$P$33:$P$49)</f>
        <v>0.1555781383</v>
      </c>
      <c r="U40" s="209"/>
      <c r="V40" s="198" t="s">
        <v>337</v>
      </c>
      <c r="W40" s="199"/>
      <c r="X40" s="199"/>
      <c r="Y40" s="208">
        <f>P17</f>
        <v>1.281797797</v>
      </c>
    </row>
    <row r="41" ht="14.25" customHeight="1">
      <c r="B41" s="77" t="s">
        <v>429</v>
      </c>
      <c r="C41" s="219"/>
      <c r="D41" s="10" t="s">
        <v>349</v>
      </c>
      <c r="F41" s="77" t="s">
        <v>343</v>
      </c>
      <c r="G41" s="216">
        <f>C49</f>
        <v>300</v>
      </c>
      <c r="J41" s="77" t="s">
        <v>495</v>
      </c>
      <c r="K41" s="119">
        <f>ROUNDUP(G10/2,0)</f>
        <v>2</v>
      </c>
      <c r="N41" s="10" t="s">
        <v>333</v>
      </c>
      <c r="O41" s="10" t="s">
        <v>320</v>
      </c>
      <c r="P41" s="124">
        <f t="shared" si="6"/>
        <v>0.07887667888</v>
      </c>
      <c r="S41" s="10" t="s">
        <v>485</v>
      </c>
      <c r="T41" s="124">
        <f t="shared" si="7"/>
        <v>0.04072243898</v>
      </c>
      <c r="V41" s="198" t="s">
        <v>341</v>
      </c>
      <c r="W41" s="199"/>
      <c r="X41" s="199"/>
      <c r="Y41" s="208">
        <f>P19</f>
        <v>0.2344777659</v>
      </c>
    </row>
    <row r="42" ht="14.25" customHeight="1">
      <c r="B42" s="103" t="s">
        <v>351</v>
      </c>
      <c r="C42" s="295">
        <f t="array" ref="C42">+INDEX(C149:C158,VLOOKUP(C40,B137:F147,5,0))</f>
        <v>12.3</v>
      </c>
      <c r="D42" s="10" t="s">
        <v>349</v>
      </c>
      <c r="F42" s="77" t="s">
        <v>496</v>
      </c>
      <c r="G42" s="108">
        <f>'P-50 Auto'!parts_job/G41+0.5</f>
        <v>3.23</v>
      </c>
      <c r="H42" s="10" t="s">
        <v>81</v>
      </c>
      <c r="J42" s="77" t="s">
        <v>312</v>
      </c>
      <c r="K42" s="119">
        <f>MAX(G11/G10*ROUNDUP(G10/2,0),G45)</f>
        <v>21591.24853</v>
      </c>
      <c r="L42" s="10" t="s">
        <v>81</v>
      </c>
      <c r="N42" s="10" t="s">
        <v>333</v>
      </c>
      <c r="O42" s="10" t="s">
        <v>324</v>
      </c>
      <c r="P42" s="124">
        <f t="shared" si="6"/>
        <v>0.002425457875</v>
      </c>
      <c r="S42" s="10" t="s">
        <v>333</v>
      </c>
      <c r="T42" s="124">
        <f t="shared" si="7"/>
        <v>0.08889166957</v>
      </c>
      <c r="V42" s="198" t="s">
        <v>248</v>
      </c>
      <c r="W42" s="199"/>
      <c r="X42" s="199"/>
      <c r="Y42" s="210">
        <f>T14</f>
        <v>1.000000101</v>
      </c>
    </row>
    <row r="43" ht="14.25" customHeight="1">
      <c r="B43" s="77" t="s">
        <v>129</v>
      </c>
      <c r="C43" s="159">
        <f>IF('P-50 Auto'!binder_per_yr&gt;F162,C163,IF('P-50 Auto'!binder_per_yr&gt;F161,C162,C161))</f>
        <v>100</v>
      </c>
      <c r="D43" s="10" t="s">
        <v>353</v>
      </c>
      <c r="F43" s="77" t="s">
        <v>252</v>
      </c>
      <c r="G43" s="119">
        <f>ROUNDDOWN('P-50 Auto'!uptime_hours_yr/G42,0)</f>
        <v>2496</v>
      </c>
      <c r="J43" s="77" t="s">
        <v>497</v>
      </c>
      <c r="K43" s="158">
        <f>'P-50 Auto'!ppu_msrp*K41</f>
        <v>700000</v>
      </c>
      <c r="N43" s="79" t="s">
        <v>338</v>
      </c>
      <c r="O43" s="79" t="s">
        <v>313</v>
      </c>
      <c r="P43" s="205">
        <f>IF(C15="No",0,IF(C16="Continuous",K36,))</f>
        <v>0.006731433863</v>
      </c>
      <c r="S43" s="10" t="s">
        <v>338</v>
      </c>
      <c r="T43" s="124">
        <f t="shared" si="7"/>
        <v>0.0964413545</v>
      </c>
      <c r="V43" s="213" t="s">
        <v>261</v>
      </c>
      <c r="W43" s="214"/>
      <c r="X43" s="214"/>
      <c r="Y43" s="215">
        <f>T17</f>
        <v>0.7077960493</v>
      </c>
    </row>
    <row r="44" ht="14.25" customHeight="1">
      <c r="B44" s="77" t="s">
        <v>132</v>
      </c>
      <c r="C44" s="221">
        <f>VLOOKUP(B44,Inputs!$B$6:$M$311,Inputs!M$1,0)</f>
        <v>48000</v>
      </c>
      <c r="F44" s="77" t="s">
        <v>347</v>
      </c>
      <c r="G44" s="119">
        <f>ROUNDUP('P-50 Auto'!total_builds_yr/G43,0)</f>
        <v>3</v>
      </c>
      <c r="J44" s="77" t="str">
        <f>"Annual depreciation (@ "&amp;'P-50 Auto'!dm_depr&amp;" yrs)"</f>
        <v>Annual depreciation (@ 10 yrs)</v>
      </c>
      <c r="K44" s="158">
        <f>K43/'P-50 Auto'!dm_depr+(3.7*1.8)*K41*'P-50 Auto'!floor_rate</f>
        <v>72131.2</v>
      </c>
      <c r="N44" s="10" t="s">
        <v>338</v>
      </c>
      <c r="O44" s="10" t="s">
        <v>318</v>
      </c>
      <c r="P44" s="124">
        <f>IF(C15="No",0,K35+IF($C$16&lt;&gt;"Continuous",K16,0))</f>
        <v>0.04002671512</v>
      </c>
      <c r="S44" s="10" t="s">
        <v>498</v>
      </c>
      <c r="T44" s="124">
        <f t="shared" si="7"/>
        <v>0.02647625306</v>
      </c>
    </row>
    <row r="45" ht="14.25" customHeight="1">
      <c r="B45" s="61" t="s">
        <v>486</v>
      </c>
      <c r="C45" s="148" t="s">
        <v>355</v>
      </c>
      <c r="F45" s="77" t="s">
        <v>350</v>
      </c>
      <c r="G45" s="119">
        <f>'P-50 Auto'!total_builds_yr*G42</f>
        <v>21591.24853</v>
      </c>
      <c r="H45" s="10" t="s">
        <v>81</v>
      </c>
      <c r="J45" s="77" t="s">
        <v>286</v>
      </c>
      <c r="K45" s="159">
        <f>K42/('P-50 Auto'!avail_hours_yr*K41)*K44/'P-50 Auto'!part_req</f>
        <v>0.01763848431</v>
      </c>
      <c r="N45" s="10" t="s">
        <v>338</v>
      </c>
      <c r="O45" s="10" t="s">
        <v>320</v>
      </c>
      <c r="P45" s="124">
        <f>IF(C15="No",0,K37+IF($C$16&lt;&gt;"Continuous",K17,0))</f>
        <v>0.03333333333</v>
      </c>
      <c r="S45" s="79" t="s">
        <v>307</v>
      </c>
      <c r="T45" s="205">
        <f>SUM(T39:T44)</f>
        <v>1.281797797</v>
      </c>
    </row>
    <row r="46" ht="14.25" customHeight="1">
      <c r="F46" s="77" t="s">
        <v>352</v>
      </c>
      <c r="G46" s="158">
        <f>G44*'P-50 Auto'!depowder_msrp</f>
        <v>450000</v>
      </c>
      <c r="J46" s="77" t="s">
        <v>277</v>
      </c>
      <c r="K46" s="159">
        <v>0.0</v>
      </c>
      <c r="N46" s="184" t="s">
        <v>338</v>
      </c>
      <c r="O46" s="184" t="s">
        <v>324</v>
      </c>
      <c r="P46" s="206">
        <f>IF(C15="No",0,K38+IF($C$16&lt;&gt;"Continuous",K18,0))</f>
        <v>0.01634987218</v>
      </c>
      <c r="T46" s="209"/>
    </row>
    <row r="47" ht="14.25" customHeight="1">
      <c r="A47" s="10" t="s">
        <v>45</v>
      </c>
      <c r="B47" s="86" t="s">
        <v>487</v>
      </c>
      <c r="C47" s="87"/>
      <c r="F47" s="77" t="str">
        <f>"Annual depreciation (@ "&amp;'P-50 Auto'!dm_depr&amp;" yrs)"</f>
        <v>Annual depreciation (@ 10 yrs)</v>
      </c>
      <c r="G47" s="158">
        <f>G46/'P-50 Auto'!dm_depr+(2.7*1.2)*G44*'P-50 Auto'!floor_rate</f>
        <v>46555.2</v>
      </c>
      <c r="J47" s="136" t="s">
        <v>281</v>
      </c>
      <c r="K47" s="168">
        <f>50*'P-50 Auto'!uptime_hours_yr*'P-50 Auto'!power_rate/'P-50 Auto'!part_req</f>
        <v>0.008837768748</v>
      </c>
      <c r="N47" s="10" t="s">
        <v>498</v>
      </c>
      <c r="O47" s="10" t="s">
        <v>318</v>
      </c>
      <c r="P47" s="124">
        <f t="shared" ref="P47:P49" si="8">K45</f>
        <v>0.01763848431</v>
      </c>
    </row>
    <row r="48" ht="14.25" customHeight="1">
      <c r="B48" s="77" t="s">
        <v>357</v>
      </c>
      <c r="C48" s="223">
        <v>20.0</v>
      </c>
      <c r="D48" s="10" t="s">
        <v>358</v>
      </c>
      <c r="F48" s="77" t="s">
        <v>286</v>
      </c>
      <c r="G48" s="159">
        <f>G45/('P-50 Auto'!avail_hours_yr*G44)*G47/'P-50 Auto'!part_req</f>
        <v>0.007589532822</v>
      </c>
      <c r="N48" s="10" t="s">
        <v>498</v>
      </c>
      <c r="O48" s="10" t="s">
        <v>320</v>
      </c>
      <c r="P48" s="124">
        <f t="shared" si="8"/>
        <v>0</v>
      </c>
    </row>
    <row r="49" ht="14.25" customHeight="1">
      <c r="B49" s="224" t="s">
        <v>343</v>
      </c>
      <c r="C49" s="201">
        <f>IF('P-50 Auto'!p_model="P-50",300,30)</f>
        <v>300</v>
      </c>
      <c r="F49" s="77" t="s">
        <v>277</v>
      </c>
      <c r="G49" s="159">
        <f>G42*'P-50 Auto'!labor_rate*'P-50 Auto'!total_builds_yr/'P-50 Auto'!part_req</f>
        <v>0.07887667888</v>
      </c>
      <c r="N49" s="10" t="s">
        <v>498</v>
      </c>
      <c r="O49" s="10" t="s">
        <v>324</v>
      </c>
      <c r="P49" s="124">
        <f t="shared" si="8"/>
        <v>0.008837768748</v>
      </c>
    </row>
    <row r="50" ht="14.25" customHeight="1">
      <c r="B50" s="224" t="s">
        <v>243</v>
      </c>
      <c r="C50" s="201">
        <f>IF('P-50 Auto'!p_model="P-50",600,240)</f>
        <v>600</v>
      </c>
      <c r="F50" s="136" t="s">
        <v>295</v>
      </c>
      <c r="G50" s="168">
        <f>'P-50 Auto'!power_rate*5*G45/'P-50 Auto'!part_req+'P-50 Auto'!nitrogen_rate*15*G42/'P-50 Auto'!good_parts_job</f>
        <v>0.002425457875</v>
      </c>
      <c r="P50" s="124"/>
    </row>
    <row r="51" ht="14.25" customHeight="1">
      <c r="B51" s="77" t="s">
        <v>431</v>
      </c>
      <c r="C51" s="201">
        <v>10.0</v>
      </c>
      <c r="D51" s="10" t="s">
        <v>361</v>
      </c>
      <c r="G51" s="121"/>
      <c r="N51" s="228"/>
      <c r="O51" s="121"/>
      <c r="P51" s="276"/>
      <c r="Q51" s="121"/>
      <c r="R51" s="121"/>
      <c r="S51" s="121"/>
      <c r="T51" s="121"/>
      <c r="U51" s="121"/>
      <c r="V51" s="189"/>
      <c r="W51" s="121"/>
    </row>
    <row r="52" ht="14.25" customHeight="1">
      <c r="B52" s="224" t="s">
        <v>432</v>
      </c>
      <c r="C52" s="201">
        <v>10.0</v>
      </c>
      <c r="D52" s="10" t="s">
        <v>361</v>
      </c>
      <c r="N52" s="228"/>
      <c r="O52" s="121"/>
      <c r="P52" s="276"/>
      <c r="Q52" s="121"/>
      <c r="R52" s="121"/>
      <c r="S52" s="121"/>
      <c r="T52" s="121"/>
      <c r="U52" s="121"/>
      <c r="V52" s="189"/>
      <c r="W52" s="121"/>
    </row>
    <row r="53" ht="14.25" customHeight="1">
      <c r="B53" s="224" t="s">
        <v>433</v>
      </c>
      <c r="C53" s="226">
        <v>0.001</v>
      </c>
      <c r="D53" s="10" t="s">
        <v>353</v>
      </c>
    </row>
    <row r="54" ht="14.25" customHeight="1">
      <c r="B54" s="224" t="s">
        <v>434</v>
      </c>
      <c r="C54" s="226">
        <v>0.0025</v>
      </c>
      <c r="D54" s="10" t="s">
        <v>353</v>
      </c>
    </row>
    <row r="55" ht="14.25" customHeight="1">
      <c r="B55" s="224" t="s">
        <v>367</v>
      </c>
      <c r="C55" s="226">
        <v>0.12</v>
      </c>
      <c r="D55" s="10" t="s">
        <v>368</v>
      </c>
    </row>
    <row r="56" ht="14.25" customHeight="1">
      <c r="B56" s="61" t="s">
        <v>369</v>
      </c>
      <c r="C56" s="227">
        <v>160.0</v>
      </c>
      <c r="D56" s="10" t="s">
        <v>370</v>
      </c>
    </row>
    <row r="57" ht="14.25" customHeight="1">
      <c r="J57" s="76"/>
    </row>
    <row r="58" ht="14.25" customHeight="1">
      <c r="U58" s="121"/>
      <c r="V58" s="189"/>
      <c r="W58" s="121"/>
    </row>
    <row r="59" ht="14.25" hidden="1" customHeight="1" outlineLevel="1">
      <c r="A59" s="10" t="s">
        <v>45</v>
      </c>
      <c r="B59" s="91" t="s">
        <v>342</v>
      </c>
      <c r="C59" s="93">
        <f>IF(C17="No",IF(C37&lt;&gt;"",C37,'P-50 Auto'!part_capacity),MIN('P-50 Auto'!part_capacity,K29*'P-50 Auto'!good_parts_job))</f>
        <v>5474685</v>
      </c>
      <c r="N59" s="228"/>
      <c r="O59" s="121"/>
      <c r="P59" s="276"/>
      <c r="Q59" s="121"/>
      <c r="R59" s="121"/>
      <c r="S59" s="121"/>
      <c r="T59" s="121"/>
      <c r="U59" s="121"/>
      <c r="V59" s="189"/>
      <c r="W59" s="121"/>
    </row>
    <row r="60" ht="14.25" hidden="1" customHeight="1" outlineLevel="1">
      <c r="B60" s="77" t="s">
        <v>47</v>
      </c>
      <c r="C60" s="230">
        <f>VLOOKUP($B60,Inputs!$B$6:$M$309,Inputs!M$1,0)</f>
        <v>1.16</v>
      </c>
      <c r="N60" s="228"/>
      <c r="O60" s="121"/>
      <c r="P60" s="276"/>
      <c r="Q60" s="121"/>
      <c r="R60" s="121"/>
      <c r="S60" s="121"/>
      <c r="T60" s="121"/>
      <c r="U60" s="121"/>
      <c r="V60" s="189"/>
      <c r="W60" s="121"/>
    </row>
    <row r="61" ht="14.25" hidden="1" customHeight="1" outlineLevel="1">
      <c r="B61" s="77" t="s">
        <v>48</v>
      </c>
      <c r="C61" s="230">
        <f>VLOOKUP($B61,Inputs!$B$6:$M$309,Inputs!M$1,0)</f>
        <v>1.165</v>
      </c>
      <c r="N61" s="228"/>
      <c r="O61" s="121"/>
      <c r="P61" s="276"/>
      <c r="Q61" s="121"/>
      <c r="R61" s="121"/>
      <c r="S61" s="121"/>
      <c r="T61" s="121"/>
      <c r="U61" s="121"/>
      <c r="V61" s="76"/>
    </row>
    <row r="62" ht="14.25" hidden="1" customHeight="1" outlineLevel="1">
      <c r="B62" s="77" t="s">
        <v>49</v>
      </c>
      <c r="C62" s="230">
        <f>VLOOKUP($B62,Inputs!$B$6:$M$309,Inputs!M$1,0)</f>
        <v>1.18</v>
      </c>
      <c r="N62" s="228"/>
      <c r="O62" s="121"/>
      <c r="P62" s="276"/>
      <c r="Q62" s="121"/>
      <c r="R62" s="121"/>
      <c r="S62" s="121"/>
      <c r="T62" s="121"/>
      <c r="W62" s="76"/>
    </row>
    <row r="63" ht="14.25" hidden="1" customHeight="1" outlineLevel="1">
      <c r="B63" s="77" t="s">
        <v>51</v>
      </c>
      <c r="C63" s="242">
        <f>VLOOKUP($B63,Inputs!$B$6:$M$309,Inputs!M$1,0)</f>
        <v>2.98</v>
      </c>
      <c r="D63" s="10" t="s">
        <v>52</v>
      </c>
      <c r="N63" s="228"/>
      <c r="O63" s="121"/>
      <c r="P63" s="276"/>
      <c r="Q63" s="121"/>
      <c r="R63" s="121"/>
      <c r="S63" s="121"/>
      <c r="T63" s="121"/>
      <c r="W63" s="76"/>
    </row>
    <row r="64" ht="14.25" hidden="1" customHeight="1" outlineLevel="1">
      <c r="B64" s="77" t="s">
        <v>373</v>
      </c>
      <c r="C64" s="193">
        <f>'P-50 Auto'!part_x*'P-50 Auto'!x_scale</f>
        <v>46.4</v>
      </c>
      <c r="D64" s="10" t="s">
        <v>55</v>
      </c>
      <c r="G64" s="76"/>
      <c r="N64" s="228"/>
      <c r="O64" s="121"/>
      <c r="P64" s="276"/>
      <c r="Q64" s="121"/>
      <c r="R64" s="121"/>
      <c r="S64" s="121"/>
      <c r="T64" s="121"/>
      <c r="V64" s="228"/>
      <c r="W64" s="121"/>
    </row>
    <row r="65" ht="14.25" hidden="1" customHeight="1" outlineLevel="1">
      <c r="B65" s="77" t="s">
        <v>374</v>
      </c>
      <c r="C65" s="193">
        <f>'P-50 Auto'!part_y*'P-50 Auto'!y_scale</f>
        <v>46.6</v>
      </c>
      <c r="D65" s="10" t="s">
        <v>55</v>
      </c>
      <c r="G65" s="76"/>
      <c r="N65" s="228"/>
      <c r="O65" s="121"/>
      <c r="P65" s="276"/>
      <c r="R65" s="76"/>
      <c r="V65" s="228"/>
      <c r="W65" s="121"/>
    </row>
    <row r="66" ht="14.25" hidden="1" customHeight="1" outlineLevel="1">
      <c r="B66" s="77" t="s">
        <v>375</v>
      </c>
      <c r="C66" s="193">
        <f>'P-50 Auto'!part_z*'P-50 Auto'!z_scale</f>
        <v>17.7</v>
      </c>
      <c r="D66" s="10" t="s">
        <v>55</v>
      </c>
      <c r="J66" s="297"/>
      <c r="K66" s="76"/>
      <c r="N66" s="228"/>
      <c r="O66" s="121"/>
      <c r="P66" s="276"/>
      <c r="S66" s="76"/>
      <c r="V66" s="228"/>
      <c r="W66" s="121"/>
    </row>
    <row r="67" ht="14.25" hidden="1" customHeight="1" outlineLevel="1">
      <c r="B67" s="77" t="s">
        <v>376</v>
      </c>
      <c r="C67" s="233">
        <f>'P-50 Auto'!part_vol*'P-50 Auto'!x_scale*'P-50 Auto'!y_scale*'P-50 Auto'!z_scale</f>
        <v>8717.335786</v>
      </c>
      <c r="D67" s="10" t="s">
        <v>223</v>
      </c>
      <c r="N67" s="228"/>
      <c r="O67" s="121"/>
      <c r="P67" s="276"/>
      <c r="R67" s="228"/>
      <c r="S67" s="121"/>
      <c r="V67" s="228"/>
      <c r="W67" s="121"/>
    </row>
    <row r="68" ht="14.25" hidden="1" customHeight="1" outlineLevel="1">
      <c r="B68" s="77" t="s">
        <v>377</v>
      </c>
      <c r="C68" s="233">
        <f>IF('P-50 Auto'!override_nesting="Yes",IF(OR(C21=0,C22=0),C18,C21),C18)</f>
        <v>819</v>
      </c>
      <c r="N68" s="228"/>
      <c r="O68" s="121"/>
      <c r="P68" s="276"/>
      <c r="R68" s="228"/>
      <c r="S68" s="121"/>
      <c r="V68" s="228"/>
      <c r="W68" s="121"/>
    </row>
    <row r="69" ht="14.25" hidden="1" customHeight="1" outlineLevel="1">
      <c r="B69" s="77" t="s">
        <v>58</v>
      </c>
      <c r="C69" s="298">
        <f>VLOOKUP($B69,Inputs!$B$6:$M$309,Inputs!M$1,0)</f>
        <v>0.6</v>
      </c>
      <c r="G69" s="76"/>
      <c r="R69" s="228"/>
      <c r="S69" s="121"/>
      <c r="V69" s="228"/>
      <c r="W69" s="121"/>
    </row>
    <row r="70" ht="14.25" hidden="1" customHeight="1" outlineLevel="1">
      <c r="B70" s="77" t="s">
        <v>54</v>
      </c>
      <c r="C70" s="234">
        <f>VLOOKUP($B70,Inputs!$B$6:$M$309,Inputs!M$1,0)</f>
        <v>490</v>
      </c>
      <c r="D70" s="10" t="s">
        <v>55</v>
      </c>
      <c r="G70" s="76"/>
      <c r="R70" s="228"/>
      <c r="S70" s="121"/>
      <c r="V70" s="228"/>
      <c r="W70" s="121"/>
    </row>
    <row r="71" ht="14.25" hidden="1" customHeight="1" outlineLevel="1">
      <c r="B71" s="77" t="s">
        <v>56</v>
      </c>
      <c r="C71" s="234">
        <f>VLOOKUP($B71,Inputs!$B$6:$M$309,Inputs!M$1,0)</f>
        <v>380</v>
      </c>
      <c r="D71" s="10" t="s">
        <v>55</v>
      </c>
      <c r="G71" s="76"/>
      <c r="O71" s="231"/>
      <c r="R71" s="228"/>
      <c r="S71" s="121"/>
      <c r="V71" s="228"/>
      <c r="W71" s="121"/>
    </row>
    <row r="72" ht="14.25" hidden="1" customHeight="1" outlineLevel="1">
      <c r="B72" s="77" t="s">
        <v>57</v>
      </c>
      <c r="C72" s="234">
        <f>VLOOKUP($B72,Inputs!$B$6:$M$309,Inputs!M$1,0)</f>
        <v>260</v>
      </c>
      <c r="D72" s="10" t="s">
        <v>55</v>
      </c>
      <c r="G72" s="76"/>
      <c r="N72" s="228"/>
      <c r="O72" s="231"/>
      <c r="R72" s="228"/>
      <c r="S72" s="121"/>
      <c r="V72" s="228"/>
      <c r="W72" s="121"/>
    </row>
    <row r="73" ht="14.25" hidden="1" customHeight="1" outlineLevel="1">
      <c r="B73" s="77" t="s">
        <v>378</v>
      </c>
      <c r="C73" s="119">
        <f>IF('P-50 Auto'!override_nesting="Yes",IF(OR(C21=0,C22=0),C19,C22),C19)</f>
        <v>244.9</v>
      </c>
      <c r="D73" s="10" t="s">
        <v>55</v>
      </c>
      <c r="G73" s="76"/>
      <c r="N73" s="228"/>
      <c r="O73" s="231"/>
      <c r="R73" s="228"/>
      <c r="S73" s="121"/>
      <c r="V73" s="228"/>
      <c r="W73" s="121"/>
    </row>
    <row r="74" ht="14.25" hidden="1" customHeight="1" outlineLevel="1">
      <c r="B74" s="77" t="s">
        <v>379</v>
      </c>
      <c r="C74" s="119">
        <f>'P-50 Auto'!build_x*'P-50 Auto'!build_y*'P-50 Auto'!build_height</f>
        <v>45600380</v>
      </c>
      <c r="D74" s="10" t="s">
        <v>223</v>
      </c>
      <c r="G74" s="76"/>
      <c r="N74" s="228"/>
      <c r="O74" s="231"/>
      <c r="R74" s="228"/>
      <c r="S74" s="121"/>
      <c r="V74" s="228"/>
      <c r="W74" s="121"/>
    </row>
    <row r="75" ht="14.25" hidden="1" customHeight="1" outlineLevel="1">
      <c r="B75" s="77" t="s">
        <v>99</v>
      </c>
      <c r="C75" s="232">
        <f>VLOOKUP($B75,Inputs!$B$6:$M$309,Inputs!M$1,0)</f>
        <v>0.5</v>
      </c>
      <c r="D75" s="10" t="s">
        <v>81</v>
      </c>
      <c r="G75" s="76"/>
      <c r="N75" s="228"/>
      <c r="O75" s="231"/>
      <c r="R75" s="228"/>
      <c r="S75" s="121"/>
      <c r="V75" s="228"/>
      <c r="W75" s="121"/>
    </row>
    <row r="76" ht="14.25" hidden="1" customHeight="1" outlineLevel="1">
      <c r="B76" s="77" t="s">
        <v>59</v>
      </c>
      <c r="C76" s="232">
        <f>VLOOKUP($B76,Inputs!$B$6:$M$309,Inputs!M$1,0)</f>
        <v>6</v>
      </c>
      <c r="G76" s="76"/>
      <c r="N76" s="228"/>
      <c r="O76" s="231"/>
      <c r="R76" s="228"/>
      <c r="S76" s="121"/>
      <c r="V76" s="228"/>
      <c r="W76" s="121"/>
    </row>
    <row r="77" ht="14.25" hidden="1" customHeight="1" outlineLevel="1">
      <c r="B77" s="77" t="s">
        <v>60</v>
      </c>
      <c r="C77" s="230">
        <f>VLOOKUP($B77,Inputs!$B$6:$M$309,Inputs!M$1,0)</f>
        <v>0.001</v>
      </c>
      <c r="G77" s="76"/>
      <c r="N77" s="228"/>
      <c r="O77" s="231"/>
      <c r="R77" s="228"/>
      <c r="S77" s="121"/>
      <c r="V77" s="228"/>
      <c r="W77" s="121"/>
    </row>
    <row r="78" ht="14.25" hidden="1" customHeight="1" outlineLevel="1">
      <c r="B78" s="77" t="s">
        <v>61</v>
      </c>
      <c r="C78" s="230">
        <f>VLOOKUP($B78,Inputs!$B$6:$M$309,Inputs!M$1,0)</f>
        <v>0.7</v>
      </c>
      <c r="G78" s="76"/>
      <c r="N78" s="228"/>
      <c r="O78" s="231"/>
      <c r="R78" s="228"/>
      <c r="S78" s="121"/>
      <c r="V78" s="228"/>
      <c r="W78" s="121"/>
    </row>
    <row r="79" ht="14.25" hidden="1" customHeight="1" outlineLevel="1">
      <c r="B79" s="77" t="s">
        <v>64</v>
      </c>
      <c r="C79" s="237">
        <f>VLOOKUP($B79,Inputs!$B$6:$M$309,Inputs!M$1,0)</f>
        <v>20</v>
      </c>
      <c r="D79" s="10" t="s">
        <v>65</v>
      </c>
      <c r="G79" s="76"/>
      <c r="N79" s="228"/>
      <c r="O79" s="231"/>
      <c r="R79" s="228"/>
      <c r="S79" s="121"/>
      <c r="V79" s="228"/>
      <c r="W79" s="121"/>
    </row>
    <row r="80" ht="14.25" hidden="1" customHeight="1" outlineLevel="1">
      <c r="B80" s="77" t="s">
        <v>62</v>
      </c>
      <c r="C80" s="234">
        <f>VLOOKUP($B80,Inputs!$B$6:$M$309,Inputs!M$1,0)</f>
        <v>100</v>
      </c>
      <c r="D80" s="10" t="s">
        <v>63</v>
      </c>
      <c r="G80" s="76"/>
      <c r="N80" s="228"/>
      <c r="O80" s="231"/>
      <c r="R80" s="228"/>
      <c r="S80" s="121"/>
      <c r="V80" s="228"/>
      <c r="W80" s="121"/>
    </row>
    <row r="81" ht="14.25" hidden="1" customHeight="1" outlineLevel="1">
      <c r="B81" s="77" t="s">
        <v>91</v>
      </c>
      <c r="C81" s="234">
        <f>VLOOKUP($B81,Inputs!$B$6:$M$309,Inputs!M$1,0)</f>
        <v>2500</v>
      </c>
      <c r="D81" s="10" t="s">
        <v>95</v>
      </c>
      <c r="N81" s="228"/>
      <c r="O81" s="231"/>
      <c r="R81" s="228"/>
      <c r="S81" s="121"/>
      <c r="V81" s="228"/>
      <c r="W81" s="121"/>
    </row>
    <row r="82" ht="14.25" hidden="1" customHeight="1" outlineLevel="2">
      <c r="B82" s="77"/>
      <c r="C82" s="119"/>
      <c r="G82" s="76"/>
      <c r="N82" s="228"/>
      <c r="O82" s="231"/>
      <c r="R82" s="228"/>
      <c r="S82" s="121"/>
      <c r="V82" s="228"/>
      <c r="W82" s="121"/>
    </row>
    <row r="83" ht="14.25" hidden="1" customHeight="1" outlineLevel="2">
      <c r="B83" s="77"/>
      <c r="C83" s="119"/>
      <c r="G83" s="76"/>
      <c r="N83" s="228"/>
      <c r="O83" s="231"/>
      <c r="R83" s="228"/>
      <c r="S83" s="121"/>
      <c r="V83" s="228"/>
      <c r="W83" s="121"/>
    </row>
    <row r="84" ht="14.25" hidden="1" customHeight="1" outlineLevel="1">
      <c r="B84" s="77" t="s">
        <v>69</v>
      </c>
      <c r="C84" s="274">
        <f>IF('P-50 Auto'!p_model="P-50",20,8.5)</f>
        <v>20</v>
      </c>
      <c r="D84" s="10" t="s">
        <v>55</v>
      </c>
      <c r="G84" s="76"/>
      <c r="N84" s="228"/>
      <c r="O84" s="231"/>
      <c r="R84" s="228"/>
      <c r="S84" s="121"/>
      <c r="V84" s="228"/>
      <c r="W84" s="121"/>
    </row>
    <row r="85" ht="14.25" hidden="1" customHeight="1" outlineLevel="1">
      <c r="B85" s="77" t="s">
        <v>70</v>
      </c>
      <c r="C85" s="274">
        <f>IF('P-50 Auto'!p_model="P-50",10,4)</f>
        <v>10</v>
      </c>
      <c r="D85" s="10" t="s">
        <v>55</v>
      </c>
      <c r="G85" s="76"/>
      <c r="N85" s="228"/>
      <c r="O85" s="231"/>
      <c r="R85" s="228"/>
      <c r="S85" s="121"/>
      <c r="V85" s="228"/>
      <c r="W85" s="121"/>
    </row>
    <row r="86" ht="14.25" hidden="1" customHeight="1" outlineLevel="1">
      <c r="B86" s="77" t="s">
        <v>71</v>
      </c>
      <c r="C86" s="274">
        <v>1.0</v>
      </c>
      <c r="D86" s="10" t="s">
        <v>55</v>
      </c>
      <c r="G86" s="76"/>
      <c r="N86" s="228"/>
      <c r="O86" s="231"/>
      <c r="R86" s="228"/>
      <c r="S86" s="121"/>
      <c r="V86" s="228"/>
      <c r="W86" s="121"/>
    </row>
    <row r="87" ht="14.25" hidden="1" customHeight="1" outlineLevel="1">
      <c r="B87" s="77" t="s">
        <v>72</v>
      </c>
      <c r="C87" s="274">
        <v>0.4</v>
      </c>
      <c r="D87" s="10" t="s">
        <v>55</v>
      </c>
      <c r="G87" s="76"/>
      <c r="N87" s="228"/>
      <c r="O87" s="231"/>
      <c r="R87" s="228"/>
      <c r="S87" s="121"/>
      <c r="V87" s="228"/>
      <c r="W87" s="121"/>
    </row>
    <row r="88" ht="14.25" hidden="1" customHeight="1" outlineLevel="1">
      <c r="B88" s="77" t="s">
        <v>80</v>
      </c>
      <c r="C88" s="232">
        <f>VLOOKUP($B88,Inputs!$B$6:$M$309,Inputs!M$1,0)</f>
        <v>40</v>
      </c>
      <c r="D88" s="10" t="s">
        <v>81</v>
      </c>
      <c r="G88" s="76"/>
      <c r="N88" s="228"/>
      <c r="O88" s="231"/>
      <c r="R88" s="228"/>
      <c r="S88" s="121"/>
      <c r="V88" s="228"/>
      <c r="W88" s="121"/>
    </row>
    <row r="89" ht="14.25" hidden="1" customHeight="1" outlineLevel="2">
      <c r="B89" s="77"/>
      <c r="C89" s="274"/>
      <c r="N89" s="228"/>
      <c r="O89" s="231"/>
      <c r="R89" s="228"/>
      <c r="S89" s="121"/>
      <c r="V89" s="228"/>
      <c r="W89" s="121"/>
    </row>
    <row r="90" ht="14.25" hidden="1" customHeight="1" outlineLevel="2">
      <c r="B90" s="77"/>
      <c r="C90" s="274"/>
      <c r="N90" s="228"/>
      <c r="O90" s="231"/>
      <c r="R90" s="228"/>
      <c r="S90" s="121"/>
      <c r="V90" s="228"/>
      <c r="W90" s="121"/>
    </row>
    <row r="91" ht="14.25" hidden="1" customHeight="1" outlineLevel="2">
      <c r="B91" s="77"/>
      <c r="C91" s="274"/>
      <c r="N91" s="228"/>
      <c r="O91" s="231"/>
      <c r="R91" s="228"/>
      <c r="S91" s="121"/>
    </row>
    <row r="92" ht="14.25" hidden="1" customHeight="1" outlineLevel="1">
      <c r="B92" s="77" t="s">
        <v>385</v>
      </c>
      <c r="C92" s="304">
        <f>IF('P-50 Auto'!furnace_sel="Shop",IF(OR('P-50 Auto'!part_scale_x&gt;dm_furnace_x,'P-50 Auto'!part_scale_y&gt;dm_furnace_y),IF(AND('P-50 Auto'!part_scale_y&lt;=dm_furnace_x,'P-50 Auto'!part_scale_x&lt;=dm_furnace_y),'P-50 Auto'!part_scale_y,"N.A."),'P-50 Auto'!part_scale_x),IF(OR('P-50 Auto'!part_scale_x&gt;'P-50 Auto'!mim_furnace_x,'P-50 Auto'!part_scale_y&gt;'P-50 Auto'!mim_furnace_y),IF(AND('P-50 Auto'!part_scale_y&lt;='P-50 Auto'!mim_furnace_x,'P-50 Auto'!part_scale_x&lt;='P-50 Auto'!mim_furnace_y),'P-50 Auto'!part_scale_y,"N.A."),'P-50 Auto'!part_scale_x))</f>
        <v>46.4</v>
      </c>
      <c r="N92" s="228"/>
      <c r="O92" s="231"/>
      <c r="R92" s="228"/>
      <c r="S92" s="121"/>
      <c r="V92" s="228"/>
      <c r="W92" s="121"/>
    </row>
    <row r="93" ht="14.25" hidden="1" customHeight="1" outlineLevel="1">
      <c r="B93" s="77" t="s">
        <v>386</v>
      </c>
      <c r="C93" s="304">
        <f>IF(C92='P-50 Auto'!part_scale_x,'P-50 Auto'!part_scale_y,IF(C92='P-50 Auto'!part_scale_y,'P-50 Auto'!part_scale_x,"N.A."))</f>
        <v>46.6</v>
      </c>
      <c r="N93" s="228"/>
      <c r="O93" s="231"/>
      <c r="R93" s="228"/>
      <c r="S93" s="121"/>
      <c r="V93" s="228"/>
      <c r="W93" s="121"/>
    </row>
    <row r="94" ht="14.25" hidden="1" customHeight="1" outlineLevel="1">
      <c r="B94" s="77" t="s">
        <v>387</v>
      </c>
      <c r="C94" s="304">
        <f>IF(OR(C92="N.A.",C93="N.A."),"N.A.",'P-50 Auto'!part_scale_z)</f>
        <v>17.7</v>
      </c>
      <c r="N94" s="228"/>
      <c r="O94" s="231"/>
      <c r="R94" s="228"/>
      <c r="S94" s="121"/>
      <c r="V94" s="228"/>
      <c r="W94" s="121"/>
    </row>
    <row r="95" ht="14.25" hidden="1" customHeight="1" outlineLevel="1">
      <c r="B95" s="77" t="s">
        <v>191</v>
      </c>
      <c r="C95" s="274">
        <v>5.0</v>
      </c>
      <c r="D95" s="10" t="s">
        <v>55</v>
      </c>
      <c r="G95" s="10" t="s">
        <v>488</v>
      </c>
      <c r="N95" s="228"/>
      <c r="O95" s="231"/>
      <c r="R95" s="228"/>
      <c r="S95" s="121"/>
    </row>
    <row r="96" ht="14.25" hidden="1" customHeight="1" outlineLevel="1">
      <c r="B96" s="77" t="s">
        <v>192</v>
      </c>
      <c r="C96" s="274">
        <v>2.0</v>
      </c>
      <c r="D96" s="10" t="s">
        <v>55</v>
      </c>
      <c r="G96" s="10" t="s">
        <v>489</v>
      </c>
      <c r="N96" s="228"/>
      <c r="O96" s="231"/>
      <c r="R96" s="228"/>
      <c r="S96" s="121"/>
    </row>
    <row r="97" ht="14.25" hidden="1" customHeight="1" outlineLevel="1">
      <c r="B97" s="77" t="s">
        <v>190</v>
      </c>
      <c r="C97" s="274">
        <v>2.6</v>
      </c>
      <c r="D97" s="10" t="s">
        <v>55</v>
      </c>
      <c r="N97" s="228"/>
      <c r="O97" s="231"/>
      <c r="R97" s="228"/>
      <c r="S97" s="121"/>
    </row>
    <row r="98" ht="14.25" hidden="1" customHeight="1" outlineLevel="2">
      <c r="B98" s="77"/>
      <c r="C98" s="159"/>
      <c r="N98" s="228"/>
      <c r="O98" s="231"/>
    </row>
    <row r="99" ht="14.25" hidden="1" customHeight="1" outlineLevel="2">
      <c r="B99" s="77"/>
      <c r="C99" s="159"/>
      <c r="N99" s="228"/>
      <c r="O99" s="231"/>
    </row>
    <row r="100" ht="14.25" hidden="1" customHeight="1" outlineLevel="2">
      <c r="B100" s="77"/>
      <c r="C100" s="159"/>
      <c r="N100" s="228"/>
      <c r="O100" s="231"/>
    </row>
    <row r="101" ht="14.25" hidden="1" customHeight="1" outlineLevel="1">
      <c r="B101" s="136" t="s">
        <v>381</v>
      </c>
      <c r="C101" s="291">
        <f>24*7*'P-50 Auto'!weeks_yr</f>
        <v>8064</v>
      </c>
      <c r="N101" s="228"/>
      <c r="O101" s="231"/>
    </row>
    <row r="102" ht="14.25" hidden="1" customHeight="1" outlineLevel="1">
      <c r="N102" s="228"/>
      <c r="O102" s="231"/>
      <c r="V102" s="228"/>
      <c r="W102" s="121"/>
    </row>
    <row r="103" ht="14.25" hidden="1" customHeight="1" outlineLevel="1">
      <c r="A103" s="10" t="s">
        <v>45</v>
      </c>
      <c r="B103" s="91" t="s">
        <v>443</v>
      </c>
      <c r="C103" s="229">
        <f>VLOOKUP('P-50 Auto'!furnace_sel,$B$121:$F$125,5,0)</f>
        <v>5</v>
      </c>
      <c r="N103" s="228"/>
      <c r="O103" s="231"/>
      <c r="V103" s="228"/>
      <c r="W103" s="121"/>
    </row>
    <row r="104" ht="14.25" hidden="1" customHeight="1" outlineLevel="1">
      <c r="B104" s="77" t="s">
        <v>444</v>
      </c>
      <c r="C104" s="299">
        <f>CHOOSE(C$103,305,420,420,420,999999,"N.A.")</f>
        <v>999999</v>
      </c>
      <c r="D104" s="10" t="s">
        <v>55</v>
      </c>
    </row>
    <row r="105" ht="14.25" hidden="1" customHeight="1" outlineLevel="1">
      <c r="B105" s="77" t="s">
        <v>445</v>
      </c>
      <c r="C105" s="299">
        <f>CHOOSE(C$103,610,610,915,1524,999999,"N.A.")</f>
        <v>999999</v>
      </c>
      <c r="D105" s="10" t="s">
        <v>55</v>
      </c>
      <c r="R105" s="228"/>
      <c r="S105" s="121"/>
    </row>
    <row r="106" ht="14.25" hidden="1" customHeight="1" outlineLevel="1">
      <c r="B106" s="77" t="s">
        <v>446</v>
      </c>
      <c r="C106" s="299">
        <f>CHOOSE(C$103,305,460,460,460,999999,"N.A.")</f>
        <v>999999</v>
      </c>
      <c r="D106" s="10" t="s">
        <v>55</v>
      </c>
      <c r="N106" s="228"/>
      <c r="O106" s="231"/>
      <c r="R106" s="228"/>
      <c r="S106" s="121"/>
    </row>
    <row r="107" ht="14.25" hidden="1" customHeight="1" outlineLevel="1">
      <c r="B107" s="77" t="s">
        <v>447</v>
      </c>
      <c r="C107" s="300">
        <v>11.0</v>
      </c>
      <c r="N107" s="228"/>
      <c r="O107" s="231"/>
      <c r="R107" s="228"/>
      <c r="S107" s="121"/>
    </row>
    <row r="108" ht="14.25" hidden="1" customHeight="1" outlineLevel="1">
      <c r="B108" s="77" t="s">
        <v>448</v>
      </c>
      <c r="C108" s="301">
        <f>CHOOSE(C$103,18,20,22,26,24*5,"N.A.")</f>
        <v>120</v>
      </c>
      <c r="D108" s="10" t="s">
        <v>81</v>
      </c>
      <c r="N108" s="228"/>
      <c r="O108" s="231"/>
    </row>
    <row r="109" ht="14.25" hidden="1" customHeight="1" outlineLevel="1">
      <c r="B109" s="77" t="str">
        <f>IF('P-50 Auto'!furnace_sel="Continuous","MIM furnace utilities rate","MIM furnace gas consumption")</f>
        <v>MIM furnace utilities rate</v>
      </c>
      <c r="C109" s="299">
        <f>CHOOSE(C$103,660,1300,1700,2800,11.1,"N.A.")</f>
        <v>11.1</v>
      </c>
      <c r="D109" s="10" t="str">
        <f>IF('P-50 Auto'!furnace_sel="Continuous","$/hr","L/hr")</f>
        <v>$/hr</v>
      </c>
      <c r="N109" s="228"/>
      <c r="O109" s="231"/>
    </row>
    <row r="110" ht="14.25" hidden="1" customHeight="1" outlineLevel="1">
      <c r="B110" s="136" t="str">
        <f>IF('P-50 Auto'!furnace_sel="Continuous","MIM furnace consumables rate","MIM furnace power consumption")</f>
        <v>MIM furnace consumables rate</v>
      </c>
      <c r="C110" s="302">
        <f>CHOOSE(C$103,60,80,100,120,4.57,"N.A.")</f>
        <v>4.57</v>
      </c>
      <c r="D110" s="10" t="str">
        <f>IF('P-50 Auto'!furnace_sel="Continuous","$/hr","kW")</f>
        <v>$/hr</v>
      </c>
      <c r="N110" s="228"/>
      <c r="O110" s="231"/>
    </row>
    <row r="111" ht="14.25" hidden="1" customHeight="1" outlineLevel="1">
      <c r="N111" s="228"/>
      <c r="O111" s="231"/>
    </row>
    <row r="112" ht="14.25" hidden="1" customHeight="1" outlineLevel="1">
      <c r="A112" s="10" t="s">
        <v>45</v>
      </c>
      <c r="B112" s="96" t="s">
        <v>116</v>
      </c>
      <c r="C112" s="115"/>
      <c r="N112" s="228"/>
      <c r="O112" s="231"/>
    </row>
    <row r="113" ht="14.25" hidden="1" customHeight="1" outlineLevel="1">
      <c r="B113" s="77" t="s">
        <v>305</v>
      </c>
      <c r="C113" s="244">
        <f>IF('P-50 Auto'!p_model="P-50",990000,442000)</f>
        <v>990000</v>
      </c>
      <c r="N113" s="228"/>
      <c r="O113" s="231"/>
    </row>
    <row r="114" ht="14.25" hidden="1" customHeight="1" outlineLevel="1">
      <c r="B114" s="77" t="s">
        <v>485</v>
      </c>
      <c r="C114" s="244">
        <f>IF('P-50 Auto'!p_model="P-50",IF('P-50 Auto'!p_config="Flex",50000,55000),50000)</f>
        <v>50000</v>
      </c>
      <c r="N114" s="228"/>
      <c r="O114" s="231"/>
    </row>
    <row r="115" ht="14.25" hidden="1" customHeight="1" outlineLevel="1">
      <c r="B115" s="77" t="s">
        <v>490</v>
      </c>
      <c r="C115" s="244">
        <f>IF('P-50 Auto'!p_model="P-50",IF('P-50 Auto'!p_config="Flex",0,40000),0)</f>
        <v>0</v>
      </c>
    </row>
    <row r="116" ht="14.25" hidden="1" customHeight="1" outlineLevel="1">
      <c r="B116" s="77" t="s">
        <v>451</v>
      </c>
      <c r="C116" s="244">
        <f>IF('P-50 Auto'!p_model="P-50",150000,25000)</f>
        <v>150000</v>
      </c>
      <c r="V116" s="228"/>
      <c r="W116" s="121"/>
    </row>
    <row r="117" ht="14.25" hidden="1" customHeight="1" outlineLevel="1">
      <c r="B117" s="77" t="s">
        <v>498</v>
      </c>
      <c r="C117" s="244">
        <v>350000.0</v>
      </c>
      <c r="V117" s="228"/>
      <c r="W117" s="121"/>
    </row>
    <row r="118" ht="14.25" hidden="1" customHeight="1" outlineLevel="1">
      <c r="B118" s="77" t="s">
        <v>455</v>
      </c>
      <c r="C118" s="244">
        <f>IF('P-50 Auto'!p_model="P-50",20000,4000)</f>
        <v>20000</v>
      </c>
      <c r="R118" s="228"/>
      <c r="S118" s="121"/>
    </row>
    <row r="119" ht="14.25" hidden="1" customHeight="1" outlineLevel="1">
      <c r="B119" s="77" t="s">
        <v>491</v>
      </c>
      <c r="C119" s="244">
        <f>IF('P-50 Auto'!p_model="P-50",25000,0)</f>
        <v>25000</v>
      </c>
      <c r="R119" s="228"/>
      <c r="S119" s="121"/>
    </row>
    <row r="120" ht="14.25" hidden="1" customHeight="1" outlineLevel="2">
      <c r="B120" s="77"/>
      <c r="C120" s="244"/>
      <c r="R120" s="228"/>
      <c r="S120" s="121"/>
    </row>
    <row r="121" ht="14.25" hidden="1" customHeight="1" outlineLevel="1">
      <c r="B121" s="283">
        <v>2.0</v>
      </c>
      <c r="C121" s="244">
        <v>300000.0</v>
      </c>
      <c r="F121" s="9">
        <v>1.0</v>
      </c>
      <c r="N121" s="228"/>
      <c r="O121" s="231"/>
      <c r="R121" s="228"/>
      <c r="S121" s="121"/>
    </row>
    <row r="122" ht="14.25" hidden="1" customHeight="1" outlineLevel="1">
      <c r="B122" s="283">
        <v>4.0</v>
      </c>
      <c r="C122" s="244">
        <v>500000.0</v>
      </c>
      <c r="E122" s="124"/>
      <c r="F122" s="9">
        <f t="shared" ref="F122:F125" si="9">F121+1</f>
        <v>2</v>
      </c>
      <c r="N122" s="228"/>
      <c r="O122" s="231"/>
      <c r="R122" s="228"/>
      <c r="S122" s="121"/>
    </row>
    <row r="123" ht="14.25" hidden="1" customHeight="1" outlineLevel="1">
      <c r="B123" s="283">
        <v>6.0</v>
      </c>
      <c r="C123" s="244">
        <v>700000.0</v>
      </c>
      <c r="E123" s="124"/>
      <c r="F123" s="9">
        <f t="shared" si="9"/>
        <v>3</v>
      </c>
      <c r="G123" s="124"/>
      <c r="N123" s="228"/>
      <c r="O123" s="231"/>
    </row>
    <row r="124" ht="14.25" hidden="1" customHeight="1" outlineLevel="1">
      <c r="B124" s="283">
        <v>12.0</v>
      </c>
      <c r="C124" s="244">
        <v>1000000.0</v>
      </c>
      <c r="F124" s="9">
        <f t="shared" si="9"/>
        <v>4</v>
      </c>
    </row>
    <row r="125" ht="14.25" hidden="1" customHeight="1" outlineLevel="1">
      <c r="B125" s="156" t="s">
        <v>176</v>
      </c>
      <c r="C125" s="244">
        <v>1000000.0</v>
      </c>
      <c r="E125" s="124"/>
      <c r="F125" s="9">
        <f t="shared" si="9"/>
        <v>5</v>
      </c>
      <c r="G125" s="124"/>
    </row>
    <row r="126" ht="14.25" hidden="1" customHeight="1" outlineLevel="1">
      <c r="B126" s="77" t="s">
        <v>456</v>
      </c>
      <c r="C126" s="244">
        <v>100000.0</v>
      </c>
    </row>
    <row r="127" ht="14.25" hidden="1" customHeight="1" outlineLevel="1">
      <c r="B127" s="77" t="s">
        <v>457</v>
      </c>
      <c r="C127" s="244">
        <v>150000.0</v>
      </c>
    </row>
    <row r="128" ht="14.25" hidden="1" customHeight="1" outlineLevel="1">
      <c r="B128" s="77" t="s">
        <v>458</v>
      </c>
      <c r="C128" s="244">
        <v>200000.0</v>
      </c>
    </row>
    <row r="129" ht="14.25" hidden="1" customHeight="1" outlineLevel="1">
      <c r="B129" s="136" t="s">
        <v>459</v>
      </c>
      <c r="C129" s="305">
        <v>300000.0</v>
      </c>
      <c r="V129" s="228"/>
      <c r="W129" s="121"/>
    </row>
    <row r="130" ht="14.25" hidden="1" customHeight="1" outlineLevel="1"/>
    <row r="131" ht="14.25" hidden="1" customHeight="1" outlineLevel="1">
      <c r="A131" s="10" t="s">
        <v>45</v>
      </c>
      <c r="B131" s="91" t="s">
        <v>460</v>
      </c>
      <c r="C131" s="284">
        <v>4.0</v>
      </c>
      <c r="D131" s="10" t="s">
        <v>461</v>
      </c>
      <c r="R131" s="228"/>
      <c r="S131" s="121"/>
    </row>
    <row r="132" ht="14.25" hidden="1" customHeight="1" outlineLevel="1">
      <c r="B132" s="77" t="s">
        <v>462</v>
      </c>
      <c r="C132" s="274">
        <v>4.0</v>
      </c>
      <c r="D132" s="10" t="s">
        <v>461</v>
      </c>
      <c r="E132" s="124"/>
      <c r="N132" s="228"/>
      <c r="O132" s="231"/>
      <c r="R132" s="228"/>
      <c r="S132" s="121"/>
    </row>
    <row r="133" ht="14.25" hidden="1" customHeight="1" outlineLevel="1">
      <c r="B133" s="77" t="s">
        <v>463</v>
      </c>
      <c r="C133" s="274">
        <v>5.0</v>
      </c>
      <c r="D133" s="10" t="s">
        <v>461</v>
      </c>
      <c r="E133" s="124"/>
      <c r="G133" s="124"/>
      <c r="N133" s="228"/>
      <c r="O133" s="231"/>
    </row>
    <row r="134" ht="14.25" hidden="1" customHeight="1" outlineLevel="1">
      <c r="B134" s="77" t="s">
        <v>464</v>
      </c>
      <c r="C134" s="274">
        <v>10.0</v>
      </c>
      <c r="D134" s="10" t="s">
        <v>461</v>
      </c>
    </row>
    <row r="135" ht="14.25" hidden="1" customHeight="1" outlineLevel="1">
      <c r="B135" s="136" t="s">
        <v>465</v>
      </c>
      <c r="C135" s="285">
        <v>20.0</v>
      </c>
      <c r="D135" s="10" t="s">
        <v>461</v>
      </c>
    </row>
    <row r="136" ht="14.25" hidden="1" customHeight="1" outlineLevel="1"/>
    <row r="137" ht="14.25" hidden="1" customHeight="1" outlineLevel="1">
      <c r="B137" s="217" t="s">
        <v>393</v>
      </c>
      <c r="C137" s="245">
        <f t="array" ref="C137">INDEX(C138:C147,VLOOKUP(C40,B137:F147,5,0))</f>
        <v>0.00000774</v>
      </c>
      <c r="D137" s="10" t="s">
        <v>394</v>
      </c>
      <c r="F137" s="9"/>
    </row>
    <row r="138" ht="14.25" hidden="1" customHeight="1" outlineLevel="1">
      <c r="B138" s="77" t="s">
        <v>428</v>
      </c>
      <c r="C138" s="246">
        <v>7.74E-6</v>
      </c>
      <c r="D138" s="10" t="s">
        <v>394</v>
      </c>
      <c r="F138" s="9">
        <v>1.0</v>
      </c>
    </row>
    <row r="139" ht="14.25" hidden="1" customHeight="1" outlineLevel="1">
      <c r="B139" s="77" t="s">
        <v>466</v>
      </c>
      <c r="C139" s="246">
        <v>8.0E-6</v>
      </c>
      <c r="D139" s="10" t="s">
        <v>394</v>
      </c>
      <c r="F139" s="9">
        <f t="shared" ref="F139:F147" si="10">F138+1</f>
        <v>2</v>
      </c>
    </row>
    <row r="140" ht="14.25" hidden="1" customHeight="1" outlineLevel="1">
      <c r="B140" s="77" t="s">
        <v>149</v>
      </c>
      <c r="C140" s="246">
        <v>7.75E-6</v>
      </c>
      <c r="D140" s="10" t="s">
        <v>394</v>
      </c>
      <c r="F140" s="9">
        <f t="shared" si="10"/>
        <v>3</v>
      </c>
    </row>
    <row r="141" ht="14.25" hidden="1" customHeight="1" outlineLevel="1">
      <c r="B141" s="156">
        <v>4140.0</v>
      </c>
      <c r="C141" s="246">
        <v>7.85E-6</v>
      </c>
      <c r="D141" s="10" t="s">
        <v>394</v>
      </c>
      <c r="F141" s="9">
        <f t="shared" si="10"/>
        <v>4</v>
      </c>
    </row>
    <row r="142" ht="14.25" hidden="1" customHeight="1" outlineLevel="1">
      <c r="B142" s="77" t="s">
        <v>154</v>
      </c>
      <c r="C142" s="246">
        <v>1.04E-5</v>
      </c>
      <c r="D142" s="10" t="s">
        <v>394</v>
      </c>
      <c r="F142" s="9">
        <f t="shared" si="10"/>
        <v>5</v>
      </c>
    </row>
    <row r="143" ht="14.25" hidden="1" customHeight="1" outlineLevel="1">
      <c r="B143" s="77" t="s">
        <v>148</v>
      </c>
      <c r="C143" s="246">
        <v>1.56E-5</v>
      </c>
      <c r="D143" s="10" t="s">
        <v>394</v>
      </c>
      <c r="F143" s="9">
        <f t="shared" si="10"/>
        <v>6</v>
      </c>
    </row>
    <row r="144" ht="14.25" hidden="1" customHeight="1" outlineLevel="1">
      <c r="B144" s="77" t="s">
        <v>146</v>
      </c>
      <c r="C144" s="246">
        <v>8.96E-6</v>
      </c>
      <c r="D144" s="10" t="s">
        <v>394</v>
      </c>
      <c r="F144" s="9">
        <f t="shared" si="10"/>
        <v>7</v>
      </c>
    </row>
    <row r="145" ht="14.25" hidden="1" customHeight="1" outlineLevel="1">
      <c r="B145" s="77" t="s">
        <v>143</v>
      </c>
      <c r="C145" s="246">
        <v>2.7E-6</v>
      </c>
      <c r="D145" s="10" t="s">
        <v>394</v>
      </c>
      <c r="F145" s="9">
        <f t="shared" si="10"/>
        <v>8</v>
      </c>
    </row>
    <row r="146" ht="14.25" hidden="1" customHeight="1" outlineLevel="1">
      <c r="B146" s="77" t="s">
        <v>155</v>
      </c>
      <c r="C146" s="246">
        <v>4.42E-6</v>
      </c>
      <c r="D146" s="10" t="s">
        <v>394</v>
      </c>
      <c r="F146" s="9">
        <f t="shared" si="10"/>
        <v>9</v>
      </c>
    </row>
    <row r="147" ht="14.25" hidden="1" customHeight="1" outlineLevel="1">
      <c r="B147" s="136" t="s">
        <v>467</v>
      </c>
      <c r="C147" s="247">
        <v>8.3E-6</v>
      </c>
      <c r="D147" s="10" t="s">
        <v>394</v>
      </c>
      <c r="F147" s="9">
        <f t="shared" si="10"/>
        <v>10</v>
      </c>
    </row>
    <row r="148" ht="14.25" hidden="1" customHeight="1" outlineLevel="1">
      <c r="C148" s="124"/>
    </row>
    <row r="149" ht="14.25" hidden="1" customHeight="1" outlineLevel="1">
      <c r="A149" s="10" t="s">
        <v>45</v>
      </c>
      <c r="B149" s="91" t="s">
        <v>428</v>
      </c>
      <c r="C149" s="286">
        <v>12.3</v>
      </c>
      <c r="D149" s="10" t="s">
        <v>349</v>
      </c>
      <c r="F149" s="9"/>
    </row>
    <row r="150" ht="14.25" hidden="1" customHeight="1" outlineLevel="1">
      <c r="B150" s="77" t="s">
        <v>466</v>
      </c>
      <c r="C150" s="277">
        <v>18.0</v>
      </c>
      <c r="D150" s="10" t="s">
        <v>349</v>
      </c>
      <c r="F150" s="9"/>
    </row>
    <row r="151" ht="14.25" hidden="1" customHeight="1" outlineLevel="1">
      <c r="B151" s="77" t="s">
        <v>149</v>
      </c>
      <c r="C151" s="277">
        <v>80.0</v>
      </c>
      <c r="D151" s="10" t="s">
        <v>349</v>
      </c>
      <c r="F151" s="9"/>
    </row>
    <row r="152" ht="14.25" hidden="1" customHeight="1" outlineLevel="1">
      <c r="B152" s="156">
        <v>4140.0</v>
      </c>
      <c r="C152" s="277">
        <v>20.0</v>
      </c>
      <c r="D152" s="10" t="s">
        <v>349</v>
      </c>
      <c r="F152" s="9"/>
      <c r="G152" s="76"/>
    </row>
    <row r="153" ht="14.25" hidden="1" customHeight="1" outlineLevel="1">
      <c r="B153" s="77" t="s">
        <v>154</v>
      </c>
      <c r="C153" s="277">
        <v>1084.0</v>
      </c>
      <c r="D153" s="10" t="s">
        <v>349</v>
      </c>
      <c r="F153" s="9"/>
      <c r="G153" s="76"/>
    </row>
    <row r="154" ht="14.25" hidden="1" customHeight="1" outlineLevel="1">
      <c r="B154" s="77" t="s">
        <v>148</v>
      </c>
      <c r="C154" s="277">
        <v>58407.0</v>
      </c>
      <c r="D154" s="10" t="s">
        <v>349</v>
      </c>
      <c r="F154" s="9"/>
    </row>
    <row r="155" ht="14.25" hidden="1" customHeight="1" outlineLevel="1">
      <c r="B155" s="77" t="s">
        <v>146</v>
      </c>
      <c r="C155" s="277">
        <v>38.0</v>
      </c>
      <c r="D155" s="10" t="s">
        <v>349</v>
      </c>
      <c r="F155" s="9"/>
    </row>
    <row r="156" ht="14.25" hidden="1" customHeight="1" outlineLevel="1">
      <c r="B156" s="77" t="s">
        <v>143</v>
      </c>
      <c r="C156" s="277">
        <v>10.0</v>
      </c>
      <c r="D156" s="10" t="s">
        <v>349</v>
      </c>
      <c r="F156" s="9"/>
      <c r="G156" s="76"/>
    </row>
    <row r="157" ht="14.25" hidden="1" customHeight="1" outlineLevel="1">
      <c r="B157" s="77" t="s">
        <v>155</v>
      </c>
      <c r="C157" s="277">
        <v>200.0</v>
      </c>
      <c r="D157" s="10" t="s">
        <v>349</v>
      </c>
      <c r="F157" s="9"/>
      <c r="G157" s="76"/>
    </row>
    <row r="158" ht="14.25" hidden="1" customHeight="1" outlineLevel="1">
      <c r="B158" s="77" t="s">
        <v>467</v>
      </c>
      <c r="C158" s="277">
        <v>0.0</v>
      </c>
      <c r="D158" s="10" t="s">
        <v>349</v>
      </c>
      <c r="F158" s="9"/>
    </row>
    <row r="159" ht="14.25" hidden="1" customHeight="1" outlineLevel="1">
      <c r="B159" s="123"/>
      <c r="C159" s="123"/>
    </row>
    <row r="160" ht="14.25" hidden="1" customHeight="1" outlineLevel="1">
      <c r="A160" s="10" t="s">
        <v>45</v>
      </c>
      <c r="B160" s="91" t="s">
        <v>395</v>
      </c>
      <c r="C160" s="252">
        <f>G9*'P-50 Auto'!total_builds_yr</f>
        <v>18400.41924</v>
      </c>
      <c r="D160" s="10" t="s">
        <v>95</v>
      </c>
      <c r="F160" s="9"/>
    </row>
    <row r="161" ht="14.25" hidden="1" customHeight="1" outlineLevel="1">
      <c r="B161" s="77" t="s">
        <v>396</v>
      </c>
      <c r="C161" s="277">
        <v>150.0</v>
      </c>
      <c r="D161" s="10" t="s">
        <v>353</v>
      </c>
      <c r="F161" s="9">
        <f>7*18.3*12</f>
        <v>1537.2</v>
      </c>
    </row>
    <row r="162" ht="14.25" hidden="1" customHeight="1" outlineLevel="1">
      <c r="B162" s="77" t="s">
        <v>397</v>
      </c>
      <c r="C162" s="277">
        <v>125.0</v>
      </c>
      <c r="D162" s="10" t="s">
        <v>353</v>
      </c>
      <c r="F162" s="9">
        <f>2*F161</f>
        <v>3074.4</v>
      </c>
    </row>
    <row r="163" ht="14.25" hidden="1" customHeight="1" outlineLevel="1">
      <c r="B163" s="77" t="s">
        <v>398</v>
      </c>
      <c r="C163" s="277">
        <v>100.0</v>
      </c>
      <c r="D163" s="10" t="s">
        <v>353</v>
      </c>
      <c r="F163" s="9"/>
    </row>
    <row r="164" ht="14.25" hidden="1" customHeight="1" outlineLevel="1">
      <c r="B164" s="136" t="s">
        <v>399</v>
      </c>
      <c r="C164" s="168">
        <f>(MIN('P-50 Auto'!binder_per_yr,F161)*C161+MAX(0,MIN('P-50 Auto'!binder_per_yr,F162)-F161)*C162+MAX(0,'P-50 Auto'!binder_per_yr-F162)*C163)/'P-50 Auto'!binder_per_yr</f>
        <v>106.2656181</v>
      </c>
      <c r="D164" s="10" t="s">
        <v>353</v>
      </c>
    </row>
    <row r="165" ht="14.25" customHeight="1" collapsed="1"/>
    <row r="166" ht="14.25" customHeight="1"/>
    <row r="167" ht="14.25" customHeight="1">
      <c r="H167" s="211"/>
    </row>
    <row r="168" ht="14.25" customHeight="1">
      <c r="H168" s="211"/>
    </row>
    <row r="169" ht="14.25" customHeight="1"/>
    <row r="170" ht="14.25" customHeight="1">
      <c r="H170" s="76"/>
    </row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F2:G2"/>
  </mergeCells>
  <conditionalFormatting sqref="B13:C13">
    <cfRule type="expression" dxfId="3" priority="1">
      <formula>$C$14="P-1"</formula>
    </cfRule>
  </conditionalFormatting>
  <conditionalFormatting sqref="B16:C16 C17">
    <cfRule type="expression" dxfId="1" priority="2">
      <formula>$C$15="No"</formula>
    </cfRule>
  </conditionalFormatting>
  <conditionalFormatting sqref="B18:C19">
    <cfRule type="expression" dxfId="1" priority="3">
      <formula>$C$20="Yes"</formula>
    </cfRule>
  </conditionalFormatting>
  <conditionalFormatting sqref="B21:C22">
    <cfRule type="expression" dxfId="1" priority="4">
      <formula>$C$20="No"</formula>
    </cfRule>
  </conditionalFormatting>
  <conditionalFormatting sqref="B37:C37">
    <cfRule type="expression" dxfId="5" priority="5">
      <formula>AND($C$17="Yes",$C$16="Shop")</formula>
    </cfRule>
  </conditionalFormatting>
  <conditionalFormatting sqref="C17">
    <cfRule type="expression" dxfId="1" priority="6">
      <formula>$C$16="Continuous"</formula>
    </cfRule>
  </conditionalFormatting>
  <conditionalFormatting sqref="C44">
    <cfRule type="expression" dxfId="0" priority="7">
      <formula>$C$46="EMEA"</formula>
    </cfRule>
  </conditionalFormatting>
  <conditionalFormatting sqref="J5:K18">
    <cfRule type="expression" dxfId="3" priority="8">
      <formula>$C$16="Continuous"</formula>
    </cfRule>
  </conditionalFormatting>
  <conditionalFormatting sqref="K31">
    <cfRule type="expression" dxfId="1" priority="9">
      <formula>$C$16="Shop"</formula>
    </cfRule>
  </conditionalFormatting>
  <conditionalFormatting sqref="K31">
    <cfRule type="cellIs" dxfId="2" priority="10" operator="greaterThan">
      <formula>1</formula>
    </cfRule>
  </conditionalFormatting>
  <conditionalFormatting sqref="K33">
    <cfRule type="expression" dxfId="6" priority="11">
      <formula>$C$16="Shop"</formula>
    </cfRule>
  </conditionalFormatting>
  <dataValidations>
    <dataValidation type="list" allowBlank="1" showInputMessage="1" showErrorMessage="1" prompt="Select a model from the dropdown menu (P-50, P-1)." sqref="C14">
      <formula1>"P-1,P-50"</formula1>
    </dataValidation>
    <dataValidation type="list" allowBlank="1" showInputMessage="1" showErrorMessage="1" prompt="If using a Shop Furnace, choose whether to limit to qty 1 or allow multiple." sqref="C20">
      <formula1>"No,Yes"</formula1>
    </dataValidation>
    <dataValidation type="list" allowBlank="1" showErrorMessage="1" sqref="C45">
      <formula1>"APAC,NAM,EMEA"</formula1>
    </dataValidation>
    <dataValidation type="list" allowBlank="1" showErrorMessage="1" sqref="C40">
      <formula1>$B$138:$B$146</formula1>
    </dataValidation>
    <dataValidation type="list" allowBlank="1" showErrorMessage="1" sqref="C13">
      <formula1>"Flex,Auto"</formula1>
    </dataValidation>
    <dataValidation type="list" allowBlank="1" showInputMessage="1" showErrorMessage="1" prompt="If prospect only wants to evaluate process costs up to sintering, choose no. Otherwise choose yes." sqref="C15">
      <formula1>"Yes,No"</formula1>
    </dataValidation>
    <dataValidation type="list" allowBlank="1" showInputMessage="1" showErrorMessage="1" prompt="Default is no. Choose yes to limit configuration to a single furnace of the chosen size." sqref="C17">
      <formula1>"No,Yes"</formula1>
    </dataValidation>
    <dataValidation type="list" allowBlank="1" showInputMessage="1" showErrorMessage="1" prompt="Select a furnace from the dropdown menu (MIM size)." sqref="C16">
      <formula1>"2,4,6,12,Continuous"</formula1>
    </dataValidation>
  </dataValidations>
  <printOptions/>
  <pageMargins bottom="0.75" footer="0.0" header="0.0" left="0.7" right="0.7" top="0.75"/>
  <pageSetup scale="28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2021-01-31T21:05:48Z</dcterms:created>
  <dc:creator>Desktop Metal</dc:creator>
</cp:coreProperties>
</file>